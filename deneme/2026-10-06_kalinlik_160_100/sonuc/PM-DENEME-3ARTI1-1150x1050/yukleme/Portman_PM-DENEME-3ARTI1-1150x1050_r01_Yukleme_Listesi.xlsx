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ÜKLEME" sheetId="1" state="visible" r:id="rId3"/>
    <sheet name="Sayım" sheetId="2" state="visible" r:id="rId4"/>
    <sheet name="Metraj" sheetId="3" state="visible" r:id="rId5"/>
    <sheet name="Açık konul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<sst xmlns="http://schemas.openxmlformats.org/spreadsheetml/2006/main" count="1023" uniqueCount="486">
  <si>
    <t xml:space="preserve">PREFABRİK BİNA MALZEMELERİ</t>
  </si>
  <si>
    <t xml:space="preserve">YÜKLEME LİSTESİ</t>
  </si>
  <si>
    <t xml:space="preserve">3+1 EL ÇİZİMİ  /  dış ölçü 1150 × 1050 cm  /  duvar yüksekliği 280 cm  /  dış 160 mm, iç 100 mm  /  verandasız, beşik çatı</t>
  </si>
  <si>
    <t xml:space="preserve">06.10.2026 — İş Emri PM-DENEME-3ARTI1-1150x1050 r01. Tek bina. Kapılı ve pencereli panolar tek pano; doğramalar ayrıca sayılır. TASLAK: üretim ve sevkiyat listesi değildir.</t>
  </si>
  <si>
    <t xml:space="preserve">Sıra</t>
  </si>
  <si>
    <t xml:space="preserve">Kod</t>
  </si>
  <si>
    <t xml:space="preserve">Malzeme</t>
  </si>
  <si>
    <t xml:space="preserve">Ölçü (mm)</t>
  </si>
  <si>
    <t xml:space="preserve">Adet</t>
  </si>
  <si>
    <t xml:space="preserve">Birim</t>
  </si>
  <si>
    <t xml:space="preserve">Dayanak</t>
  </si>
  <si>
    <t xml:space="preserve">Açıklama</t>
  </si>
  <si>
    <t xml:space="preserve">Dış duvar panoları (160 mm)</t>
  </si>
  <si>
    <t xml:space="preserve">D09</t>
  </si>
  <si>
    <t xml:space="preserve">Dolu pano</t>
  </si>
  <si>
    <t xml:space="preserve">1255 × 160 × 2800</t>
  </si>
  <si>
    <t xml:space="preserve">adet</t>
  </si>
  <si>
    <t xml:space="preserve">Sayım</t>
  </si>
  <si>
    <t xml:space="preserve">D10</t>
  </si>
  <si>
    <t xml:space="preserve">120×180 pencereli pano</t>
  </si>
  <si>
    <t xml:space="preserve">Pencere ayrı kalem. Gerçek listelerde üst panel (h 800) + alt panel (h 200) diye yazılır.</t>
  </si>
  <si>
    <t xml:space="preserve">D11</t>
  </si>
  <si>
    <t xml:space="preserve">Dış kapılı pano</t>
  </si>
  <si>
    <t xml:space="preserve">Kapı ayrı kalem; pano tek parça sayıldı.</t>
  </si>
  <si>
    <t xml:space="preserve">D12</t>
  </si>
  <si>
    <t xml:space="preserve">Özel dolu pano</t>
  </si>
  <si>
    <t xml:space="preserve">1140 × 160 × 2800</t>
  </si>
  <si>
    <t xml:space="preserve">Ölçüye kesim: cephenin son panosu.</t>
  </si>
  <si>
    <t xml:space="preserve">D13</t>
  </si>
  <si>
    <t xml:space="preserve">120×120 pencereli pano</t>
  </si>
  <si>
    <t xml:space="preserve">Pencere ayrı kalem. Gerçek listelerde üst panel (h 800) + alt panel (h 800) diye yazılır.</t>
  </si>
  <si>
    <t xml:space="preserve">D14</t>
  </si>
  <si>
    <t xml:space="preserve">300 × 160 × 2800</t>
  </si>
  <si>
    <t xml:space="preserve">Ölçüye kesim: cephenin son panosu. DAR PARÇA: böyle mi üretilecek, komşu panoyla mı paylaştırılacak (açık konu 1).</t>
  </si>
  <si>
    <t xml:space="preserve">D15</t>
  </si>
  <si>
    <t xml:space="preserve">60×40 vasistaslı pano</t>
  </si>
  <si>
    <t xml:space="preserve">Vasistas ayrı kalem. Gerçek listelerde oyma panel diye yazılır.</t>
  </si>
  <si>
    <t xml:space="preserve">İç duvar panoları (100 mm)</t>
  </si>
  <si>
    <t xml:space="preserve">I12</t>
  </si>
  <si>
    <t xml:space="preserve">1205 × 100 × 2800</t>
  </si>
  <si>
    <t xml:space="preserve">Birleşimde duvar yüzüne dayanan ya da ölçüye kesilen pano; boy çizimdeki net boydur.</t>
  </si>
  <si>
    <t xml:space="preserve">I13</t>
  </si>
  <si>
    <t xml:space="preserve">512,5 × 100 × 2800</t>
  </si>
  <si>
    <t xml:space="preserve">I14</t>
  </si>
  <si>
    <t xml:space="preserve">1255 × 100 × 2800</t>
  </si>
  <si>
    <t xml:space="preserve">I15</t>
  </si>
  <si>
    <t xml:space="preserve">İç kapılı pano</t>
  </si>
  <si>
    <t xml:space="preserve">I16</t>
  </si>
  <si>
    <t xml:space="preserve">577,5 × 100 × 2800</t>
  </si>
  <si>
    <t xml:space="preserve">I17</t>
  </si>
  <si>
    <t xml:space="preserve">627,5 × 100 × 2800</t>
  </si>
  <si>
    <t xml:space="preserve">I18</t>
  </si>
  <si>
    <t xml:space="preserve">1175 × 100 × 2800</t>
  </si>
  <si>
    <t xml:space="preserve">I19</t>
  </si>
  <si>
    <t xml:space="preserve">220 × 100 × 2800</t>
  </si>
  <si>
    <t xml:space="preserve">Birleşimde duvar yüzüne dayanan ya da ölçüye kesilen pano; boy çizimdeki net boydur. DAR PARÇA: böyle mi üretilecek, komşu panoyla mı paylaştırılacak (açık konu 1).</t>
  </si>
  <si>
    <t xml:space="preserve">Kapı ve pencereler</t>
  </si>
  <si>
    <t xml:space="preserve">P01</t>
  </si>
  <si>
    <t xml:space="preserve">Pencere 120×120</t>
  </si>
  <si>
    <t xml:space="preserve">1200 × 1200</t>
  </si>
  <si>
    <t xml:space="preserve">Ölçü en × yükseklik; eşik 800 mm.</t>
  </si>
  <si>
    <t xml:space="preserve">P02</t>
  </si>
  <si>
    <t xml:space="preserve">Pencere 120×180</t>
  </si>
  <si>
    <t xml:space="preserve">1200 × 1800</t>
  </si>
  <si>
    <t xml:space="preserve">Ölçü en × yükseklik; eşik 200 mm.</t>
  </si>
  <si>
    <t xml:space="preserve">P03</t>
  </si>
  <si>
    <t xml:space="preserve">Vasistas 60×40</t>
  </si>
  <si>
    <t xml:space="preserve">600 × 400</t>
  </si>
  <si>
    <t xml:space="preserve">Ölçü en × yükseklik; eşik 1600 mm.</t>
  </si>
  <si>
    <t xml:space="preserve">K01</t>
  </si>
  <si>
    <t xml:space="preserve">İç kapı</t>
  </si>
  <si>
    <t xml:space="preserve">Açıklık 820</t>
  </si>
  <si>
    <t xml:space="preserve">820 mm plandaki açıklıktır; ürün eni/boyu ve açılış yönü siparişte teyit edilmeli.</t>
  </si>
  <si>
    <t xml:space="preserve">K03</t>
  </si>
  <si>
    <t xml:space="preserve">Dış kapı 90</t>
  </si>
  <si>
    <t xml:space="preserve">Açıklık 900</t>
  </si>
  <si>
    <t xml:space="preserve">900 mm plandaki açıklıktır; ürün ölçüsü siparişte teyit edilmeli.</t>
  </si>
  <si>
    <t xml:space="preserve">—</t>
  </si>
  <si>
    <t xml:space="preserve">Pencere kör kasası 120/180</t>
  </si>
  <si>
    <t xml:space="preserve">Liste kuralı</t>
  </si>
  <si>
    <t xml:space="preserve">P6001 gerçek listesinde yalnız 120/180 pencerelerde. Teyit bekliyor.</t>
  </si>
  <si>
    <t xml:space="preserve">Bağlantı profilleri ve alt çerçeve</t>
  </si>
  <si>
    <t xml:space="preserve">B02</t>
  </si>
  <si>
    <t xml:space="preserve">100×50 köşe bağlantısı</t>
  </si>
  <si>
    <t xml:space="preserve">50 × 100</t>
  </si>
  <si>
    <t xml:space="preserve">Çıkarım</t>
  </si>
  <si>
    <t xml:space="preserve">Adet plandan sayıldı. Kesit 160 / 100 mm duvar için çıkarım; profil ve kesim boyu mühendis teyidi bekliyor.</t>
  </si>
  <si>
    <t xml:space="preserve">B05</t>
  </si>
  <si>
    <t xml:space="preserve">Üçlü H bağlantı 100</t>
  </si>
  <si>
    <t xml:space="preserve">100</t>
  </si>
  <si>
    <t xml:space="preserve">B06</t>
  </si>
  <si>
    <t xml:space="preserve">160×80 köşe bağlantısı</t>
  </si>
  <si>
    <t xml:space="preserve">80 × 160</t>
  </si>
  <si>
    <t xml:space="preserve">2'li H profil, dış pano eki (160'lık)</t>
  </si>
  <si>
    <t xml:space="preserve">L 2800</t>
  </si>
  <si>
    <t xml:space="preserve">Her cephede pano adedi − 1. P6001 gerçek listesinde tutuyor (19). Kulaklı / dübelli ayrımının kuralı yok.</t>
  </si>
  <si>
    <t xml:space="preserve">2'li H profil, iç pano eki (100'lük)</t>
  </si>
  <si>
    <t xml:space="preserve">İç ekler − üçlü H'nin yerini aldığı ekler. P6001 gerçek listesinde tutuyor (5).</t>
  </si>
  <si>
    <t xml:space="preserve">Alt çerçeve, dış duvar (160'lık)</t>
  </si>
  <si>
    <t xml:space="preserve">L 3750</t>
  </si>
  <si>
    <t xml:space="preserve">Dış duvar boyu ÷ 3,75 m. P6001 gerçek listesinde tutuyor (9).</t>
  </si>
  <si>
    <t xml:space="preserve">Alt çerçeve, iç duvar (100'lük)</t>
  </si>
  <si>
    <t xml:space="preserve">İç duvar boyu ÷ 3,75 m. P6001 gerçek listesinde tutuyor (3).</t>
  </si>
  <si>
    <t xml:space="preserve">Çatı (beşik, %33; makaslar kısa kenarı geçer)</t>
  </si>
  <si>
    <t xml:space="preserve">Baş makas</t>
  </si>
  <si>
    <t xml:space="preserve">açıklık 10500</t>
  </si>
  <si>
    <t xml:space="preserve">Kalkan duvarların üstünde. Makas boyu ve kesiti mühendisten.</t>
  </si>
  <si>
    <t xml:space="preserve">Orta makas</t>
  </si>
  <si>
    <t xml:space="preserve">Pano akslarında (kesilen panoda aralık kısalır). P6001 gerçek listesinde tutuyor (5).</t>
  </si>
  <si>
    <t xml:space="preserve">Çatı kaplaması, tek kat panel</t>
  </si>
  <si>
    <t xml:space="preserve">Kural</t>
  </si>
  <si>
    <t xml:space="preserve">Kapatma 100 cm (Lokman, 4 Ekim); boy eğimli boy + 5 cm taşma. Her yüzde mahya boyu ÷ kapatma genişliği.</t>
  </si>
  <si>
    <t xml:space="preserve">Mahya</t>
  </si>
  <si>
    <t xml:space="preserve">30 cm bindirme (Lokman, 3 Ekim). P6001 gerçek listesinde bu kural 4 verir, liste 3: bindirme teyit edilmeli.</t>
  </si>
  <si>
    <t xml:space="preserve">Saçak sacı</t>
  </si>
  <si>
    <t xml:space="preserve">İki saçak kenarı, 30 cm bindirme. P6001 gerçek listesinde tutuyor (7).</t>
  </si>
  <si>
    <t xml:space="preserve">Alın sacı</t>
  </si>
  <si>
    <t xml:space="preserve">Dört kalkan kenarı, 30 cm bindirme. P6001 gerçek listesinde tutuyor (8).</t>
  </si>
  <si>
    <t xml:space="preserve">Omega aşık</t>
  </si>
  <si>
    <t xml:space="preserve">60 cm aralık, %5 zayiat. P6001 gerçek listesinde tutuyor (37). Zayiat payı teyit bekliyor.</t>
  </si>
  <si>
    <t xml:space="preserve">Çatı şiltesi</t>
  </si>
  <si>
    <t xml:space="preserve">9,6 m²/adet</t>
  </si>
  <si>
    <t xml:space="preserve">Brüt alan ÷ 9,6. P6001 gerçek listesinde tutuyor (7).</t>
  </si>
  <si>
    <t xml:space="preserve">Tavan</t>
  </si>
  <si>
    <t xml:space="preserve">Tavan alçıpanı</t>
  </si>
  <si>
    <t xml:space="preserve">12 × 1200 × 2500</t>
  </si>
  <si>
    <t xml:space="preserve">Brüt alan ÷ 3 m². P6001 gerçek listesinde tutuyor (20). Beyaz–yeşil ayrımı ve tavan H'ı için kural yok.</t>
  </si>
  <si>
    <t xml:space="preserve">Dere</t>
  </si>
  <si>
    <t xml:space="preserve">Metal dere</t>
  </si>
  <si>
    <t xml:space="preserve">L 4000</t>
  </si>
  <si>
    <t xml:space="preserve">Çelik listelerinin kuralı (÷ 3,8). Prefabrik pakette dere var mı, teyit.</t>
  </si>
  <si>
    <t xml:space="preserve">Dere kelepçesi</t>
  </si>
  <si>
    <t xml:space="preserve">Dere adedi × 8.</t>
  </si>
  <si>
    <t xml:space="preserve">İniş borusu</t>
  </si>
  <si>
    <t xml:space="preserve">L 3000</t>
  </si>
  <si>
    <t xml:space="preserve">Dört köşe + 10 m'den uzun iki saçak cephesinin ortası (Lokman, 3 Ekim; çelik).</t>
  </si>
  <si>
    <t xml:space="preserve">İniş aparatı</t>
  </si>
  <si>
    <t xml:space="preserve">İniş başına 1.</t>
  </si>
  <si>
    <t xml:space="preserve">Kapalı dirsek</t>
  </si>
  <si>
    <t xml:space="preserve">Açık dirsek</t>
  </si>
  <si>
    <t xml:space="preserve">İniş başına 2.</t>
  </si>
  <si>
    <t xml:space="preserve">İniş kelepçesi</t>
  </si>
  <si>
    <t xml:space="preserve">TOPLAM DUVAR PANOSU</t>
  </si>
  <si>
    <t xml:space="preserve">Pano ölçüsü: boy × kalınlık × yükseklik. Pencereler: en × yükseklik. Ölçüler mm.</t>
  </si>
  <si>
    <t xml:space="preserve">Dayanak — Sayım: modelden sayıldı (DXF ve IFC ile aynı). Kural: Lokman'ın ya da mühendisin söylediği kural. Liste kuralı (sarı): P6001'in gerçek yükleme listesinden çıkarıldı, o listede tutuyor, teyit bekliyor. Çıkarım (turuncu): başka sistemin kuralı ya da kesit varsayımı.</t>
  </si>
  <si>
    <t xml:space="preserve">Adetlerin hepsi formüldür: sayılanlar Sayım sayfasından, türetilenler Metraj sayfasından gelir. Metraj'da her kuralın P6001 gerçek listesiyle sağlaması var.</t>
  </si>
  <si>
    <t xml:space="preserve">Bu listede olmayanlar Açık konular sayfasında: çektirme U'su, duvar ve saçak omegası, pencere U'su, tavan H'ı, dış–iç üçlü H, vida, elektrik, tesisat, boya.</t>
  </si>
  <si>
    <t xml:space="preserve">MODELDEN ALINAN SAYIM — her satır bir eleman</t>
  </si>
  <si>
    <t xml:space="preserve">Kaynak: İş Emri PM-DENEME-3ARTI1-1150x1050 r01; Motor deneme kopyasının planı (DXF ve IFC ile aynı). Koordinatlar sol-ön dış köşeden, cm. Sıra kodu görünüş paftasındaki pano numarasıdır (cephede bakana göre soldan sağa).</t>
  </si>
  <si>
    <t xml:space="preserve">Eleman</t>
  </si>
  <si>
    <t xml:space="preserve">Tür</t>
  </si>
  <si>
    <t xml:space="preserve">Duvar</t>
  </si>
  <si>
    <t xml:space="preserve">Sıra (pafta kodu)</t>
  </si>
  <si>
    <t xml:space="preserve">Boy / en (mm)</t>
  </si>
  <si>
    <t xml:space="preserve">Kalınlık (mm)</t>
  </si>
  <si>
    <t xml:space="preserve">Yükseklik (mm)</t>
  </si>
  <si>
    <t xml:space="preserve">Açıklık</t>
  </si>
  <si>
    <t xml:space="preserve">Merkez X (cm)</t>
  </si>
  <si>
    <t xml:space="preserve">Merkez Y (cm)</t>
  </si>
  <si>
    <t xml:space="preserve">IFC adı</t>
  </si>
  <si>
    <t xml:space="preserve">Dış pano</t>
  </si>
  <si>
    <t xml:space="preserve">Ön cephe</t>
  </si>
  <si>
    <t xml:space="preserve">Ö1</t>
  </si>
  <si>
    <t xml:space="preserve">PANO_D_TAM_125.5_00</t>
  </si>
  <si>
    <t xml:space="preserve">Ö2</t>
  </si>
  <si>
    <t xml:space="preserve">pencere 120×180</t>
  </si>
  <si>
    <t xml:space="preserve">PANO_D_TAM_125.5_01</t>
  </si>
  <si>
    <t xml:space="preserve">Pencere</t>
  </si>
  <si>
    <t xml:space="preserve">Ö3</t>
  </si>
  <si>
    <t xml:space="preserve">PANO_D_TAM_125.5_02</t>
  </si>
  <si>
    <t xml:space="preserve">Ö4</t>
  </si>
  <si>
    <t xml:space="preserve">dış kapı 90</t>
  </si>
  <si>
    <t xml:space="preserve">PANO_D_TAM_125.5_03</t>
  </si>
  <si>
    <t xml:space="preserve">Kapı</t>
  </si>
  <si>
    <t xml:space="preserve">Ö5</t>
  </si>
  <si>
    <t xml:space="preserve">PANO_D_TAM_125.5_04</t>
  </si>
  <si>
    <t xml:space="preserve">Ö6</t>
  </si>
  <si>
    <t xml:space="preserve">PANO_D_TAM_125.5_05</t>
  </si>
  <si>
    <t xml:space="preserve">Ö7</t>
  </si>
  <si>
    <t xml:space="preserve">PANO_D_TAM_125.5_06</t>
  </si>
  <si>
    <t xml:space="preserve">Ö8</t>
  </si>
  <si>
    <t xml:space="preserve">PANO_D_TAM_125.5_07</t>
  </si>
  <si>
    <t xml:space="preserve">Ö9</t>
  </si>
  <si>
    <t xml:space="preserve">PANO_D_OZEL_114.0_08</t>
  </si>
  <si>
    <t xml:space="preserve">İç pano</t>
  </si>
  <si>
    <t xml:space="preserve">İç duvar 1 (y = 321.75 cm, soldan sağa)</t>
  </si>
  <si>
    <t xml:space="preserve">İ1-1</t>
  </si>
  <si>
    <t xml:space="preserve">PANO_I_OZEL_120.5_09</t>
  </si>
  <si>
    <t xml:space="preserve">İ1-2</t>
  </si>
  <si>
    <t xml:space="preserve">PANO_I_OZEL_51.2_10</t>
  </si>
  <si>
    <t xml:space="preserve">İç duvar 2 (y = 447.25 cm, soldan sağa)</t>
  </si>
  <si>
    <t xml:space="preserve">İ2-1</t>
  </si>
  <si>
    <t xml:space="preserve">PANO_I_TAM_125.5_11</t>
  </si>
  <si>
    <t xml:space="preserve">İ2-2</t>
  </si>
  <si>
    <t xml:space="preserve">iç kapı 82</t>
  </si>
  <si>
    <t xml:space="preserve">PANO_I_TAM_125.5_12</t>
  </si>
  <si>
    <t xml:space="preserve">İ2-3</t>
  </si>
  <si>
    <t xml:space="preserve">PANO_I_TAM_125.5_13</t>
  </si>
  <si>
    <t xml:space="preserve">İ2-4</t>
  </si>
  <si>
    <t xml:space="preserve">PANO_I_OZEL_57.8_14</t>
  </si>
  <si>
    <t xml:space="preserve">İç duvar 3 (y = 635.5 cm, soldan sağa)</t>
  </si>
  <si>
    <t xml:space="preserve">İ3-1</t>
  </si>
  <si>
    <t xml:space="preserve">PANO_I_TAM_125.5_15</t>
  </si>
  <si>
    <t xml:space="preserve">İ3-2</t>
  </si>
  <si>
    <t xml:space="preserve">PANO_I_TAM_125.5_16</t>
  </si>
  <si>
    <t xml:space="preserve">İ3-3</t>
  </si>
  <si>
    <t xml:space="preserve">PANO_I_YARIM_62.8_17</t>
  </si>
  <si>
    <t xml:space="preserve">İ3-4</t>
  </si>
  <si>
    <t xml:space="preserve">PANO_I_TAM_125.5_18</t>
  </si>
  <si>
    <t xml:space="preserve">İ3-5</t>
  </si>
  <si>
    <t xml:space="preserve">PANO_I_TAM_125.5_19</t>
  </si>
  <si>
    <t xml:space="preserve">İ3-6</t>
  </si>
  <si>
    <t xml:space="preserve">PANO_I_OZEL_51.2_20</t>
  </si>
  <si>
    <t xml:space="preserve">Arka cephe</t>
  </si>
  <si>
    <t xml:space="preserve">A9</t>
  </si>
  <si>
    <t xml:space="preserve">PANO_D_TAM_125.5_21</t>
  </si>
  <si>
    <t xml:space="preserve">A8</t>
  </si>
  <si>
    <t xml:space="preserve">pencere 120×120</t>
  </si>
  <si>
    <t xml:space="preserve">PANO_D_TAM_125.5_22</t>
  </si>
  <si>
    <t xml:space="preserve">A7</t>
  </si>
  <si>
    <t xml:space="preserve">PANO_D_TAM_125.5_23</t>
  </si>
  <si>
    <t xml:space="preserve">A6</t>
  </si>
  <si>
    <t xml:space="preserve">PANO_D_TAM_125.5_24</t>
  </si>
  <si>
    <t xml:space="preserve">A5</t>
  </si>
  <si>
    <t xml:space="preserve">PANO_D_TAM_125.5_25</t>
  </si>
  <si>
    <t xml:space="preserve">A4</t>
  </si>
  <si>
    <t xml:space="preserve">PANO_D_TAM_125.5_26</t>
  </si>
  <si>
    <t xml:space="preserve">A3</t>
  </si>
  <si>
    <t xml:space="preserve">PANO_D_TAM_125.5_27</t>
  </si>
  <si>
    <t xml:space="preserve">A2</t>
  </si>
  <si>
    <t xml:space="preserve">PANO_D_TAM_125.5_28</t>
  </si>
  <si>
    <t xml:space="preserve">A1</t>
  </si>
  <si>
    <t xml:space="preserve">PANO_D_OZEL_114.0_29</t>
  </si>
  <si>
    <t xml:space="preserve">Sol cephe</t>
  </si>
  <si>
    <t xml:space="preserve">SL9</t>
  </si>
  <si>
    <t xml:space="preserve">PANO_D_TAM_125.5_30</t>
  </si>
  <si>
    <t xml:space="preserve">SL8</t>
  </si>
  <si>
    <t xml:space="preserve">PANO_D_TAM_125.5_31</t>
  </si>
  <si>
    <t xml:space="preserve">SL7</t>
  </si>
  <si>
    <t xml:space="preserve">PANO_D_TAM_125.5_32</t>
  </si>
  <si>
    <t xml:space="preserve">SL6</t>
  </si>
  <si>
    <t xml:space="preserve">PANO_D_TAM_125.5_33</t>
  </si>
  <si>
    <t xml:space="preserve">SL5</t>
  </si>
  <si>
    <t xml:space="preserve">PANO_D_TAM_125.5_34</t>
  </si>
  <si>
    <t xml:space="preserve">SL4</t>
  </si>
  <si>
    <t xml:space="preserve">PANO_D_TAM_125.5_35</t>
  </si>
  <si>
    <t xml:space="preserve">SL3</t>
  </si>
  <si>
    <t xml:space="preserve">PANO_D_TAM_125.5_36</t>
  </si>
  <si>
    <t xml:space="preserve">SL2</t>
  </si>
  <si>
    <t xml:space="preserve">PANO_D_TAM_125.5_37</t>
  </si>
  <si>
    <t xml:space="preserve">SL1</t>
  </si>
  <si>
    <t xml:space="preserve">PANO_D_OZEL_30.0_38</t>
  </si>
  <si>
    <t xml:space="preserve">İç duvar 4 (x = 518 cm, önden arkaya)</t>
  </si>
  <si>
    <t xml:space="preserve">İ4-1</t>
  </si>
  <si>
    <t xml:space="preserve">PANO_I_OZEL_117.5_39</t>
  </si>
  <si>
    <t xml:space="preserve">İ4-2</t>
  </si>
  <si>
    <t xml:space="preserve">PANO_I_TAM_125.5_40</t>
  </si>
  <si>
    <t xml:space="preserve">İ4-3</t>
  </si>
  <si>
    <t xml:space="preserve">PANO_I_TAM_125.5_41</t>
  </si>
  <si>
    <t xml:space="preserve">İ4-4</t>
  </si>
  <si>
    <t xml:space="preserve">PANO_I_OZEL_57.8_42</t>
  </si>
  <si>
    <t xml:space="preserve">İç duvar 5 (x = 518 cm, önden arkaya)</t>
  </si>
  <si>
    <t xml:space="preserve">İ5-1</t>
  </si>
  <si>
    <t xml:space="preserve">PANO_I_OZEL_120.5_43</t>
  </si>
  <si>
    <t xml:space="preserve">İ5-2</t>
  </si>
  <si>
    <t xml:space="preserve">PANO_I_TAM_125.5_44</t>
  </si>
  <si>
    <t xml:space="preserve">İ5-3</t>
  </si>
  <si>
    <t xml:space="preserve">PANO_I_TAM_125.5_45</t>
  </si>
  <si>
    <t xml:space="preserve">İ5-4</t>
  </si>
  <si>
    <t xml:space="preserve">PANO_I_OZEL_22.0_46</t>
  </si>
  <si>
    <t xml:space="preserve">İç duvar 6 (x = 831.75 cm, önden arkaya)</t>
  </si>
  <si>
    <t xml:space="preserve">İ6-1</t>
  </si>
  <si>
    <t xml:space="preserve">PANO_I_OZEL_120.5_47</t>
  </si>
  <si>
    <t xml:space="preserve">İ6-2</t>
  </si>
  <si>
    <t xml:space="preserve">PANO_I_TAM_125.5_48</t>
  </si>
  <si>
    <t xml:space="preserve">İ6-3</t>
  </si>
  <si>
    <t xml:space="preserve">PANO_I_TAM_125.5_49</t>
  </si>
  <si>
    <t xml:space="preserve">İ6-4</t>
  </si>
  <si>
    <t xml:space="preserve">PANO_I_OZEL_22.0_50</t>
  </si>
  <si>
    <t xml:space="preserve">İç duvar 7 (x = 957.25 cm, önden arkaya)</t>
  </si>
  <si>
    <t xml:space="preserve">İ7-1</t>
  </si>
  <si>
    <t xml:space="preserve">PANO_I_OZEL_117.5_51</t>
  </si>
  <si>
    <t xml:space="preserve">İ7-2</t>
  </si>
  <si>
    <t xml:space="preserve">PANO_I_TAM_125.5_52</t>
  </si>
  <si>
    <t xml:space="preserve">İ7-3</t>
  </si>
  <si>
    <t xml:space="preserve">PANO_I_YARIM_62.8_53</t>
  </si>
  <si>
    <t xml:space="preserve">İ7-4</t>
  </si>
  <si>
    <t xml:space="preserve">PANO_I_TAM_125.5_54</t>
  </si>
  <si>
    <t xml:space="preserve">İ7-5</t>
  </si>
  <si>
    <t xml:space="preserve">PANO_I_TAM_125.5_55</t>
  </si>
  <si>
    <t xml:space="preserve">İ7-6</t>
  </si>
  <si>
    <t xml:space="preserve">PANO_I_OZEL_57.8_56</t>
  </si>
  <si>
    <t xml:space="preserve">Sağ cephe</t>
  </si>
  <si>
    <t xml:space="preserve">SĞ1</t>
  </si>
  <si>
    <t xml:space="preserve">PANO_D_TAM_125.5_57</t>
  </si>
  <si>
    <t xml:space="preserve">SĞ2</t>
  </si>
  <si>
    <t xml:space="preserve">pencere 60×40</t>
  </si>
  <si>
    <t xml:space="preserve">PANO_D_TAM_125.5_58</t>
  </si>
  <si>
    <t xml:space="preserve">SĞ3</t>
  </si>
  <si>
    <t xml:space="preserve">PANO_D_TAM_125.5_59</t>
  </si>
  <si>
    <t xml:space="preserve">SĞ4</t>
  </si>
  <si>
    <t xml:space="preserve">PANO_D_TAM_125.5_60</t>
  </si>
  <si>
    <t xml:space="preserve">SĞ5</t>
  </si>
  <si>
    <t xml:space="preserve">PANO_D_TAM_125.5_61</t>
  </si>
  <si>
    <t xml:space="preserve">SĞ6</t>
  </si>
  <si>
    <t xml:space="preserve">PANO_D_TAM_125.5_62</t>
  </si>
  <si>
    <t xml:space="preserve">SĞ7</t>
  </si>
  <si>
    <t xml:space="preserve">PANO_D_TAM_125.5_63</t>
  </si>
  <si>
    <t xml:space="preserve">SĞ8</t>
  </si>
  <si>
    <t xml:space="preserve">PANO_D_TAM_125.5_64</t>
  </si>
  <si>
    <t xml:space="preserve">SĞ9</t>
  </si>
  <si>
    <t xml:space="preserve">PANO_D_OZEL_30.0_65</t>
  </si>
  <si>
    <t xml:space="preserve">Bağlantı</t>
  </si>
  <si>
    <t xml:space="preserve">Dış köşe</t>
  </si>
  <si>
    <t xml:space="preserve">K1</t>
  </si>
  <si>
    <t xml:space="preserve">K2</t>
  </si>
  <si>
    <t xml:space="preserve">İç köşe</t>
  </si>
  <si>
    <t xml:space="preserve">K3</t>
  </si>
  <si>
    <t xml:space="preserve">K4</t>
  </si>
  <si>
    <t xml:space="preserve">K5</t>
  </si>
  <si>
    <t xml:space="preserve">K6</t>
  </si>
  <si>
    <t xml:space="preserve">İç duvar T birleşimi</t>
  </si>
  <si>
    <t xml:space="preserve">H1</t>
  </si>
  <si>
    <t xml:space="preserve">H2</t>
  </si>
  <si>
    <t xml:space="preserve">H3</t>
  </si>
  <si>
    <t xml:space="preserve">H4</t>
  </si>
  <si>
    <t xml:space="preserve">TÜRETİLEN KALEMLER — kural, girdi ve formül</t>
  </si>
  <si>
    <t xml:space="preserve">Mavi: girdi (modelden ya da kuraldan). Siyah: formül. P6001 sütunu aynı formülü P6001'in girdileriyle hesaplar; yanındaki sütun P6001'in gerçek yükleme listesindeki adettir (60 m², İkranur Prefabrik; 21 Eylül 2026 analizi). Tutmayan kural kırmızı ✗ ile durur.</t>
  </si>
  <si>
    <t xml:space="preserve">Kalem</t>
  </si>
  <si>
    <t xml:space="preserve">Bu yapı</t>
  </si>
  <si>
    <t xml:space="preserve">P6001 (aynı formül)</t>
  </si>
  <si>
    <t xml:space="preserve">P6001 gerçek liste</t>
  </si>
  <si>
    <t xml:space="preserve">Tutuyor mu</t>
  </si>
  <si>
    <t xml:space="preserve">Kural ve kaynağı</t>
  </si>
  <si>
    <t xml:space="preserve">Girdiler · yapı</t>
  </si>
  <si>
    <t xml:space="preserve">Dış ölçü, genişlik (cm)</t>
  </si>
  <si>
    <t xml:space="preserve">İş Emri: dış ölçü (Lokman, 6 Ekim 18:50). P6001: 6 pano × 125,5 + 20.</t>
  </si>
  <si>
    <t xml:space="preserve">Dış ölçü, derinlik (cm)</t>
  </si>
  <si>
    <t xml:space="preserve">İş Emri: dış ölçü. P6001: 6 pano × 125,5 + 10.</t>
  </si>
  <si>
    <t xml:space="preserve">Makas açıklığı (cm)</t>
  </si>
  <si>
    <t xml:space="preserve">Makaslar kısa kenarı geçer (Lokman, 20–21 Eylül). Bu yapıda derinlik; P6001'de genişlik.</t>
  </si>
  <si>
    <t xml:space="preserve">Mahya boyunca bina boyu (cm)</t>
  </si>
  <si>
    <t xml:space="preserve">Makas açıklığına dik kenar.</t>
  </si>
  <si>
    <t xml:space="preserve">Saçak (cm)</t>
  </si>
  <si>
    <t xml:space="preserve">P6001 çizim kuralı: saçak 30 cm.</t>
  </si>
  <si>
    <t xml:space="preserve">Çatı eğimi</t>
  </si>
  <si>
    <t xml:space="preserve">P6001 çizim kuralı: %33.</t>
  </si>
  <si>
    <t xml:space="preserve">Girdiler · modelden sayılanlar</t>
  </si>
  <si>
    <t xml:space="preserve">Dış pano adedi</t>
  </si>
  <si>
    <t xml:space="preserve">Sayım sayfasından.</t>
  </si>
  <si>
    <t xml:space="preserve">Dış duvar koşusu (kesintisiz duvar)</t>
  </si>
  <si>
    <t xml:space="preserve">Plandan: dört cephe. P6001'de veranda girintisiyle 6.</t>
  </si>
  <si>
    <t xml:space="preserve">İç pano adedi</t>
  </si>
  <si>
    <t xml:space="preserve">İç duvar koşusu</t>
  </si>
  <si>
    <t xml:space="preserve">Plandan.</t>
  </si>
  <si>
    <t xml:space="preserve">Üçlü H (iç–iç T birleşimi)</t>
  </si>
  <si>
    <t xml:space="preserve">Dış pano boyları toplamı (m)</t>
  </si>
  <si>
    <t xml:space="preserve">İç pano boyları toplamı (m)</t>
  </si>
  <si>
    <t xml:space="preserve">Mahya boyunca pano aksı sayısı</t>
  </si>
  <si>
    <t xml:space="preserve">Mahyaya paralel dış duvarın pano adedi + 1.</t>
  </si>
  <si>
    <t xml:space="preserve">120×180 pencere adedi</t>
  </si>
  <si>
    <t xml:space="preserve">Girdiler · kural katsayıları</t>
  </si>
  <si>
    <t xml:space="preserve">Alt çerçeve parça boyu (m)</t>
  </si>
  <si>
    <t xml:space="preserve">P6001 gerçek listesi: 100'lük ve 60'lık alt çerçeve L 3750.</t>
  </si>
  <si>
    <t xml:space="preserve">Çatı kaplamasının kapatma genişliği (m)</t>
  </si>
  <si>
    <t xml:space="preserve">Lokman, 4 Ekim 15:18: tek kat panel 100 cm kapatır. 2021 ürününde 87 cm.</t>
  </si>
  <si>
    <t xml:space="preserve">Kaplamanın saçaktan taşması (m)</t>
  </si>
  <si>
    <t xml:space="preserve">Mühendis, 4 Ekim 12:14: kaplama saçaktan 5 cm taşar.</t>
  </si>
  <si>
    <t xml:space="preserve">Sac parçasının bindirmeden sonraki boyu (m)</t>
  </si>
  <si>
    <t xml:space="preserve">Lokman, 3 Ekim 13:27: saçak, mahya ve alın sacında bindirme 30 cm; L 2800 parçada uzunluk ÷ 2,5.</t>
  </si>
  <si>
    <t xml:space="preserve">Aşık aralığı (m)</t>
  </si>
  <si>
    <t xml:space="preserve">Montaj paftası notu: aşıklar 60 cm aralıklı.</t>
  </si>
  <si>
    <t xml:space="preserve">Aşık parça boyu (m)</t>
  </si>
  <si>
    <t xml:space="preserve">P6001 gerçek listesi: omega aşık L 3750. (Çelik listelerinde L 4200.)</t>
  </si>
  <si>
    <t xml:space="preserve">Aşık zayiatı</t>
  </si>
  <si>
    <t xml:space="preserve">Gerçek listelere uydurulan pay; teyit bekliyor.</t>
  </si>
  <si>
    <t xml:space="preserve">Alçıpan levhası (m²)</t>
  </si>
  <si>
    <t xml:space="preserve">1,2 × 2,5 m.</t>
  </si>
  <si>
    <t xml:space="preserve">Şilte (m²/adet)</t>
  </si>
  <si>
    <t xml:space="preserve">Çelik listeleri: çatı şiltesi 9,6 m²/adet.</t>
  </si>
  <si>
    <t xml:space="preserve">Dere parçasının bindirmeden sonraki boyu (m)</t>
  </si>
  <si>
    <t xml:space="preserve">Excel hesaplama motoru (CTKBF): L 4000 − 20 cm bindirme.</t>
  </si>
  <si>
    <t xml:space="preserve">Bağlantı profilleri</t>
  </si>
  <si>
    <t xml:space="preserve">2'li H, dış pano ekleri</t>
  </si>
  <si>
    <t xml:space="preserve">Her koşuda pano adedi − 1 ek. P6001 gerçek listesi: H 100 = 19.</t>
  </si>
  <si>
    <t xml:space="preserve">2'li H, iç pano ekleri</t>
  </si>
  <si>
    <t xml:space="preserve">İç ekler − üçlü H'nin yerini aldığı ekler. P6001 gerçek listesi: H 60 = 5.</t>
  </si>
  <si>
    <t xml:space="preserve">Alt çerçeve, dış duvar (adet)</t>
  </si>
  <si>
    <t xml:space="preserve">Dış pano boyları toplamı ÷ parça boyu, yukarı yuvarlanır. Kapı boşluğu düşülmez (P6001 listesine göre).</t>
  </si>
  <si>
    <t xml:space="preserve">Alt çerçeve, iç duvar (adet)</t>
  </si>
  <si>
    <t xml:space="preserve">İç pano boyları toplamı ÷ parça boyu.</t>
  </si>
  <si>
    <t xml:space="preserve">P6001 gerçek listesi: yalnız 120/180 pencerelerde kör kasa (2 pencere, 2 kasa). Teyit bekliyor.</t>
  </si>
  <si>
    <t xml:space="preserve">Çatı (beşik)</t>
  </si>
  <si>
    <t xml:space="preserve">İki kalkan duvarın üstünde.</t>
  </si>
  <si>
    <t xml:space="preserve">Makaslar pano akslarında. P6001 gerçek listesi: 6 pano boyunca 2 baş + 5 orta.</t>
  </si>
  <si>
    <t xml:space="preserve">Eğimli boy, mahyadan saçak ucuna (m)</t>
  </si>
  <si>
    <t xml:space="preserve">Geometri.</t>
  </si>
  <si>
    <t xml:space="preserve">Mahya boyu (m)</t>
  </si>
  <si>
    <t xml:space="preserve">Bina boyu + iki uçta saçak.</t>
  </si>
  <si>
    <t xml:space="preserve">Çatı yüzeyi (m²)</t>
  </si>
  <si>
    <t xml:space="preserve">İki yüz. IFC modelindeki örtü alanıyla aynı olmalı.</t>
  </si>
  <si>
    <t xml:space="preserve">Çatı kaplaması, tek kat panel (adet)</t>
  </si>
  <si>
    <t xml:space="preserve">Her yüzde mahya boyu ÷ kapatma genişliği. P6001 gerçek listesi: 20 adet.</t>
  </si>
  <si>
    <t xml:space="preserve">Kaplama boyu (m)</t>
  </si>
  <si>
    <t xml:space="preserve">Eğimli boy + taşma. P6001 gerçek listesinde L 4350 (bu formül 4,44 verir; liste 9 cm kısa).</t>
  </si>
  <si>
    <t xml:space="preserve">Mahya parçası L 2800 (adet)</t>
  </si>
  <si>
    <t xml:space="preserve">Mahya boyu ÷ 2,5. P6001 gerçek listesinde 3: bindirmesiz hesapla (8,23 ÷ 2,8) tutuyor, 30 cm bindirmeyle tutmuyor.</t>
  </si>
  <si>
    <t xml:space="preserve">Saçak sacı L 2800 (adet)</t>
  </si>
  <si>
    <t xml:space="preserve">İki saçak kenarı ÷ 2,5. P6001 gerçek listesi: 7.</t>
  </si>
  <si>
    <t xml:space="preserve">Alın sacı L 2800 (adet)</t>
  </si>
  <si>
    <t xml:space="preserve">Dört kalkan kenarı ÷ 2,5. P6001 gerçek listesi: 8.</t>
  </si>
  <si>
    <t xml:space="preserve">Aşık sırası, yüz başına</t>
  </si>
  <si>
    <t xml:space="preserve">Eğimli boy ÷ aralık + 1.</t>
  </si>
  <si>
    <t xml:space="preserve">Omega aşık (adet)</t>
  </si>
  <si>
    <t xml:space="preserve">İki yüz × sıra × mahya boyu × (1 + zayiat) ÷ parça boyu. P6001 gerçek listesi: 37.</t>
  </si>
  <si>
    <t xml:space="preserve">Tavan ve izolasyon</t>
  </si>
  <si>
    <t xml:space="preserve">Brüt alan (m²)</t>
  </si>
  <si>
    <t xml:space="preserve">Dış ölçülerden.</t>
  </si>
  <si>
    <t xml:space="preserve">Tavan alçıpanı (adet)</t>
  </si>
  <si>
    <t xml:space="preserve">Brüt alan ÷ levha alanı. P6001 gerçek listesi: 15 beyaz + 5 yeşil = 20. Beyaz–yeşil ayrımının kuralı yok.</t>
  </si>
  <si>
    <t xml:space="preserve">Çatı şiltesi (adet)</t>
  </si>
  <si>
    <t xml:space="preserve">Brüt alan ÷ 9,6. P6001 gerçek listesi: 7.</t>
  </si>
  <si>
    <t xml:space="preserve">Dere (çelik listelerinin kuralıyla; prefabrik listede sağlaması yok)</t>
  </si>
  <si>
    <t xml:space="preserve">Metal dere L 4000 (adet)</t>
  </si>
  <si>
    <t xml:space="preserve">İki saçak kenarı ÷ 3,8 (Excel hesaplama motoru; üç gerçek çelik listede tutuyor).</t>
  </si>
  <si>
    <t xml:space="preserve">Dere inişi (adet)</t>
  </si>
  <si>
    <t xml:space="preserve">Lokman, 3 Ekim 13:27: her köşeye bir iniş; 10 m ve daha uzun cephenin ortasına bir tane daha.</t>
  </si>
  <si>
    <t xml:space="preserve">Dere kelepçesi (adet)</t>
  </si>
  <si>
    <t xml:space="preserve">Excel hesaplama motoru: dere adedi × 8.</t>
  </si>
  <si>
    <t xml:space="preserve">Açık dirsek (adet)</t>
  </si>
  <si>
    <t xml:space="preserve">Excel hesaplama motoru: iniş başına 2.</t>
  </si>
  <si>
    <t xml:space="preserve">İniş kelepçesi (adet)</t>
  </si>
  <si>
    <t xml:space="preserve">AÇIK KONULAR — listeye girmeyenler ve teyit bekleyenler</t>
  </si>
  <si>
    <t xml:space="preserve">No</t>
  </si>
  <si>
    <t xml:space="preserve">Konu</t>
  </si>
  <si>
    <t xml:space="preserve">Bu yapıda durum</t>
  </si>
  <si>
    <t xml:space="preserve">P6001 gerçek listesinde (60 m²)</t>
  </si>
  <si>
    <t xml:space="preserve">Gereken</t>
  </si>
  <si>
    <t xml:space="preserve">Dar kalan son parça</t>
  </si>
  <si>
    <t xml:space="preserve">Arkada 30 cm dış pano (2 adet), arka yatak odalarının duvarlarında 22 cm iç pano (2 adet).</t>
  </si>
  <si>
    <t xml:space="preserve">Yok (tam modül).</t>
  </si>
  <si>
    <t xml:space="preserve">Böyle mi üretilecek, bir önceki panoyla mı paylaştırılacak? En az pano boyu.</t>
  </si>
  <si>
    <t xml:space="preserve">160 mm dış ve 100 mm iç duvarın bağlantı profilleri</t>
  </si>
  <si>
    <t xml:space="preserve">Köşe 160×80, iç köşe 100×50, üçlü H 100, 2'li H'lar: kesitler çıkarım.</t>
  </si>
  <si>
    <t xml:space="preserve">Köşe direği 100×100 ×6, 60×60 ×1; H 100 ×19; H 60 ×5; 3'lü H 60 ×2.</t>
  </si>
  <si>
    <t xml:space="preserve">Mühendisten profil listesi ve kesim boyları.</t>
  </si>
  <si>
    <t xml:space="preserve">Dış–iç üçlü H (iç duvarın dış duvara dayandığı yer)</t>
  </si>
  <si>
    <t xml:space="preserve">6 birleşim: 3'ü dış pano ekinde, 3'ü pano ortasında. Listeye yazılmadı.</t>
  </si>
  <si>
    <t xml:space="preserve">3'lü H 100×100×60 ×2 (kulaklı 1 + dübelli 1).</t>
  </si>
  <si>
    <t xml:space="preserve">Pano ortasına gelen birleşim nasıl bağlanıyor?</t>
  </si>
  <si>
    <t xml:space="preserve">Kulaklı / dübelli H ayrımı</t>
  </si>
  <si>
    <t xml:space="preserve">Ayrılmadı; 2'li H tek kalem.</t>
  </si>
  <si>
    <t xml:space="preserve">H 100: 8 kulaklı + 11 dübelli.</t>
  </si>
  <si>
    <t xml:space="preserve">Hangi eklerde kulaklı?</t>
  </si>
  <si>
    <t xml:space="preserve">Çektirme U'su</t>
  </si>
  <si>
    <t xml:space="preserve">Listeye yazılmadı.</t>
  </si>
  <si>
    <t xml:space="preserve">100'lük ×5, 60'lık ×3 (L 2440).</t>
  </si>
  <si>
    <t xml:space="preserve">Nerede sayılır?</t>
  </si>
  <si>
    <t xml:space="preserve">Duvar omegası ve saçak omegası</t>
  </si>
  <si>
    <t xml:space="preserve">100'lük duvar omegası ×3, 60'lık ×15, saçak omegası ×7.</t>
  </si>
  <si>
    <t xml:space="preserve">Neyi taşıyor, nasıl sayılır?</t>
  </si>
  <si>
    <t xml:space="preserve">Pencere U'su</t>
  </si>
  <si>
    <t xml:space="preserve">×6 (5 pencere).</t>
  </si>
  <si>
    <t xml:space="preserve">Pencere başına kural.</t>
  </si>
  <si>
    <t xml:space="preserve">Tavan H'ı; alçıpanda beyaz–yeşil ayrımı</t>
  </si>
  <si>
    <t xml:space="preserve">Alçıpan toplam adet verildi; H ve ayrım yok.</t>
  </si>
  <si>
    <t xml:space="preserve">Tavan H'ı 1185 ×70; alçıpan 15 beyaz + 5 yeşil.</t>
  </si>
  <si>
    <t xml:space="preserve">H adedi kuralı; yeşil levha hangi mahallerde?</t>
  </si>
  <si>
    <t xml:space="preserve">Makas boyu ve kesiti</t>
  </si>
  <si>
    <t xml:space="preserve">Adet verildi (2 baş + 8 orta); boy yazılmadı.</t>
  </si>
  <si>
    <t xml:space="preserve">Baş ve orta makas L 8230 (açıklık 7730).</t>
  </si>
  <si>
    <t xml:space="preserve">10,50 m açıklık için makas ölçüsü ve statik.</t>
  </si>
  <si>
    <t xml:space="preserve">Mahya bindirmesi</t>
  </si>
  <si>
    <t xml:space="preserve">30 cm bindirmeyle 5 adet.</t>
  </si>
  <si>
    <t xml:space="preserve">3 adet (bindirmesiz hesapla tutuyor).</t>
  </si>
  <si>
    <t xml:space="preserve">Prefabrikte mahya bindirmesi kaç cm?</t>
  </si>
  <si>
    <t xml:space="preserve">Pencereli panonun yazılışı</t>
  </si>
  <si>
    <t xml:space="preserve">Tek pano + ayrı doğrama (Astra listesindeki gibi).</t>
  </si>
  <si>
    <t xml:space="preserve">Üst panel + alt panel + oyma panel ayrı kalemler.</t>
  </si>
  <si>
    <t xml:space="preserve">Üretim listesi hangi biçimi istiyor?</t>
  </si>
  <si>
    <t xml:space="preserve">Vida, elektrik, sıhhi tesisat, boya</t>
  </si>
  <si>
    <t xml:space="preserve">Dört ayrı grup.</t>
  </si>
  <si>
    <t xml:space="preserve">Çelik listelerindeki kurallar prefabrikte de geçerli mi?</t>
  </si>
  <si>
    <t xml:space="preserve">Pencere ölçüleri</t>
  </si>
  <si>
    <t xml:space="preserve">El çizimindeki 240/240, 150/240, 100/240, 180/120, 60/60 standart ölçülere çevrildi.</t>
  </si>
  <si>
    <t xml:space="preserve">Standart mı, özel doğrama mı?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</si>
</sst>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%"/>
    <numFmt numFmtId="168" formatCode="0.00"/>
    <numFmt numFmtId="169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3B4C"/>
        <bgColor rgb="FF333300"/>
      </patternFill>
    </fill>
    <fill>
      <patternFill patternType="solid">
        <fgColor rgb="FFE7E2D6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E7E2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E2D6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6" min="5" style="0" width="8"/>
    <col collapsed="false" customWidth="true" hidden="false" outlineLevel="0" max="7" min="7" style="0" width="13"/>
    <col collapsed="false" customWidth="true" hidden="false" outlineLevel="0" max="8" min="8" style="0" width="100"/>
  </cols>
  <sheetData>
    <row r="1" customFormat="false" ht="17.35" hidden="false" customHeight="false" outlineLevel="0" collapsed="false">
      <c r="A1" s="1" t="s">
        <v>0</v>
      </c>
      <c r="F1" s="1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customFormat="false" ht="15" hidden="false" customHeight="false" outlineLevel="0" collapsed="false">
      <c r="A7" s="5" t="s">
        <v>12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6" t="n">
        <v>1</v>
      </c>
      <c r="B8" s="6" t="s">
        <v>13</v>
      </c>
      <c r="C8" s="7" t="s">
        <v>14</v>
      </c>
      <c r="D8" s="6" t="s">
        <v>15</v>
      </c>
      <c r="E8" s="8" t="n">
        <f aca="false">COUNTIF(Sayım!$A$5:$A$94,"D09")</f>
        <v>23</v>
      </c>
      <c r="F8" s="6" t="s">
        <v>16</v>
      </c>
      <c r="G8" s="6" t="s">
        <v>17</v>
      </c>
      <c r="H8" s="7"/>
    </row>
    <row r="9" customFormat="false" ht="15" hidden="false" customHeight="false" outlineLevel="0" collapsed="false">
      <c r="A9" s="6" t="n">
        <v>2</v>
      </c>
      <c r="B9" s="6" t="s">
        <v>18</v>
      </c>
      <c r="C9" s="7" t="s">
        <v>19</v>
      </c>
      <c r="D9" s="6" t="s">
        <v>15</v>
      </c>
      <c r="E9" s="8" t="n">
        <f aca="false">COUNTIF(Sayım!$A$5:$A$94,"D10")</f>
        <v>3</v>
      </c>
      <c r="F9" s="6" t="s">
        <v>16</v>
      </c>
      <c r="G9" s="6" t="s">
        <v>17</v>
      </c>
      <c r="H9" s="7" t="s">
        <v>20</v>
      </c>
    </row>
    <row r="10" customFormat="false" ht="15" hidden="false" customHeight="false" outlineLevel="0" collapsed="false">
      <c r="A10" s="6" t="n">
        <v>3</v>
      </c>
      <c r="B10" s="6" t="s">
        <v>21</v>
      </c>
      <c r="C10" s="7" t="s">
        <v>22</v>
      </c>
      <c r="D10" s="6" t="s">
        <v>15</v>
      </c>
      <c r="E10" s="8" t="n">
        <f aca="false">COUNTIF(Sayım!$A$5:$A$94,"D11")</f>
        <v>1</v>
      </c>
      <c r="F10" s="6" t="s">
        <v>16</v>
      </c>
      <c r="G10" s="6" t="s">
        <v>17</v>
      </c>
      <c r="H10" s="7" t="s">
        <v>23</v>
      </c>
    </row>
    <row r="11" customFormat="false" ht="15" hidden="false" customHeight="false" outlineLevel="0" collapsed="false">
      <c r="A11" s="6" t="n">
        <v>4</v>
      </c>
      <c r="B11" s="6" t="s">
        <v>24</v>
      </c>
      <c r="C11" s="7" t="s">
        <v>25</v>
      </c>
      <c r="D11" s="6" t="s">
        <v>26</v>
      </c>
      <c r="E11" s="8" t="n">
        <f aca="false">COUNTIF(Sayım!$A$5:$A$94,"D12")</f>
        <v>2</v>
      </c>
      <c r="F11" s="6" t="s">
        <v>16</v>
      </c>
      <c r="G11" s="6" t="s">
        <v>17</v>
      </c>
      <c r="H11" s="7" t="s">
        <v>27</v>
      </c>
    </row>
    <row r="12" customFormat="false" ht="15" hidden="false" customHeight="false" outlineLevel="0" collapsed="false">
      <c r="A12" s="6" t="n">
        <v>5</v>
      </c>
      <c r="B12" s="6" t="s">
        <v>28</v>
      </c>
      <c r="C12" s="7" t="s">
        <v>29</v>
      </c>
      <c r="D12" s="6" t="s">
        <v>15</v>
      </c>
      <c r="E12" s="8" t="n">
        <f aca="false">COUNTIF(Sayım!$A$5:$A$94,"D13")</f>
        <v>3</v>
      </c>
      <c r="F12" s="6" t="s">
        <v>16</v>
      </c>
      <c r="G12" s="6" t="s">
        <v>17</v>
      </c>
      <c r="H12" s="7" t="s">
        <v>30</v>
      </c>
    </row>
    <row r="13" customFormat="false" ht="15" hidden="false" customHeight="false" outlineLevel="0" collapsed="false">
      <c r="A13" s="6" t="n">
        <v>6</v>
      </c>
      <c r="B13" s="6" t="s">
        <v>31</v>
      </c>
      <c r="C13" s="7" t="s">
        <v>25</v>
      </c>
      <c r="D13" s="6" t="s">
        <v>32</v>
      </c>
      <c r="E13" s="8" t="n">
        <f aca="false">COUNTIF(Sayım!$A$5:$A$94,"D14")</f>
        <v>2</v>
      </c>
      <c r="F13" s="6" t="s">
        <v>16</v>
      </c>
      <c r="G13" s="6" t="s">
        <v>17</v>
      </c>
      <c r="H13" s="7" t="s">
        <v>33</v>
      </c>
    </row>
    <row r="14" customFormat="false" ht="15" hidden="false" customHeight="false" outlineLevel="0" collapsed="false">
      <c r="A14" s="6" t="n">
        <v>7</v>
      </c>
      <c r="B14" s="6" t="s">
        <v>34</v>
      </c>
      <c r="C14" s="7" t="s">
        <v>35</v>
      </c>
      <c r="D14" s="6" t="s">
        <v>15</v>
      </c>
      <c r="E14" s="8" t="n">
        <f aca="false">COUNTIF(Sayım!$A$5:$A$94,"D15")</f>
        <v>2</v>
      </c>
      <c r="F14" s="6" t="s">
        <v>16</v>
      </c>
      <c r="G14" s="6" t="s">
        <v>17</v>
      </c>
      <c r="H14" s="7" t="s">
        <v>36</v>
      </c>
    </row>
    <row r="15" customFormat="false" ht="15" hidden="false" customHeight="false" outlineLevel="0" collapsed="false">
      <c r="A15" s="5" t="s">
        <v>37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6" t="n">
        <v>8</v>
      </c>
      <c r="B16" s="6" t="s">
        <v>38</v>
      </c>
      <c r="C16" s="7" t="s">
        <v>25</v>
      </c>
      <c r="D16" s="6" t="s">
        <v>39</v>
      </c>
      <c r="E16" s="8" t="n">
        <f aca="false">COUNTIF(Sayım!$A$5:$A$94,"I12")</f>
        <v>3</v>
      </c>
      <c r="F16" s="6" t="s">
        <v>16</v>
      </c>
      <c r="G16" s="6" t="s">
        <v>17</v>
      </c>
      <c r="H16" s="7" t="s">
        <v>40</v>
      </c>
    </row>
    <row r="17" customFormat="false" ht="15" hidden="false" customHeight="false" outlineLevel="0" collapsed="false">
      <c r="A17" s="6" t="n">
        <v>9</v>
      </c>
      <c r="B17" s="6" t="s">
        <v>41</v>
      </c>
      <c r="C17" s="7" t="s">
        <v>25</v>
      </c>
      <c r="D17" s="6" t="s">
        <v>42</v>
      </c>
      <c r="E17" s="8" t="n">
        <f aca="false">COUNTIF(Sayım!$A$5:$A$94,"I13")</f>
        <v>2</v>
      </c>
      <c r="F17" s="6" t="s">
        <v>16</v>
      </c>
      <c r="G17" s="6" t="s">
        <v>17</v>
      </c>
      <c r="H17" s="7" t="s">
        <v>40</v>
      </c>
    </row>
    <row r="18" customFormat="false" ht="15" hidden="false" customHeight="false" outlineLevel="0" collapsed="false">
      <c r="A18" s="6" t="n">
        <v>10</v>
      </c>
      <c r="B18" s="6" t="s">
        <v>43</v>
      </c>
      <c r="C18" s="7" t="s">
        <v>14</v>
      </c>
      <c r="D18" s="6" t="s">
        <v>44</v>
      </c>
      <c r="E18" s="8" t="n">
        <f aca="false">COUNTIF(Sayım!$A$5:$A$94,"I14")</f>
        <v>11</v>
      </c>
      <c r="F18" s="6" t="s">
        <v>16</v>
      </c>
      <c r="G18" s="6" t="s">
        <v>17</v>
      </c>
      <c r="H18" s="7"/>
    </row>
    <row r="19" customFormat="false" ht="15" hidden="false" customHeight="false" outlineLevel="0" collapsed="false">
      <c r="A19" s="6" t="n">
        <v>11</v>
      </c>
      <c r="B19" s="6" t="s">
        <v>45</v>
      </c>
      <c r="C19" s="7" t="s">
        <v>46</v>
      </c>
      <c r="D19" s="6" t="s">
        <v>44</v>
      </c>
      <c r="E19" s="8" t="n">
        <f aca="false">COUNTIF(Sayım!$A$5:$A$94,"I15")</f>
        <v>5</v>
      </c>
      <c r="F19" s="6" t="s">
        <v>16</v>
      </c>
      <c r="G19" s="6" t="s">
        <v>17</v>
      </c>
      <c r="H19" s="7" t="s">
        <v>23</v>
      </c>
    </row>
    <row r="20" customFormat="false" ht="15" hidden="false" customHeight="false" outlineLevel="0" collapsed="false">
      <c r="A20" s="6" t="n">
        <v>12</v>
      </c>
      <c r="B20" s="6" t="s">
        <v>47</v>
      </c>
      <c r="C20" s="7" t="s">
        <v>25</v>
      </c>
      <c r="D20" s="6" t="s">
        <v>48</v>
      </c>
      <c r="E20" s="8" t="n">
        <f aca="false">COUNTIF(Sayım!$A$5:$A$94,"I16")</f>
        <v>3</v>
      </c>
      <c r="F20" s="6" t="s">
        <v>16</v>
      </c>
      <c r="G20" s="6" t="s">
        <v>17</v>
      </c>
      <c r="H20" s="7" t="s">
        <v>40</v>
      </c>
    </row>
    <row r="21" customFormat="false" ht="15" hidden="false" customHeight="false" outlineLevel="0" collapsed="false">
      <c r="A21" s="6" t="n">
        <v>13</v>
      </c>
      <c r="B21" s="6" t="s">
        <v>49</v>
      </c>
      <c r="C21" s="7" t="s">
        <v>25</v>
      </c>
      <c r="D21" s="6" t="s">
        <v>50</v>
      </c>
      <c r="E21" s="8" t="n">
        <f aca="false">COUNTIF(Sayım!$A$5:$A$94,"I17")</f>
        <v>2</v>
      </c>
      <c r="F21" s="6" t="s">
        <v>16</v>
      </c>
      <c r="G21" s="6" t="s">
        <v>17</v>
      </c>
      <c r="H21" s="7" t="s">
        <v>40</v>
      </c>
    </row>
    <row r="22" customFormat="false" ht="15" hidden="false" customHeight="false" outlineLevel="0" collapsed="false">
      <c r="A22" s="6" t="n">
        <v>14</v>
      </c>
      <c r="B22" s="6" t="s">
        <v>51</v>
      </c>
      <c r="C22" s="7" t="s">
        <v>25</v>
      </c>
      <c r="D22" s="6" t="s">
        <v>52</v>
      </c>
      <c r="E22" s="8" t="n">
        <f aca="false">COUNTIF(Sayım!$A$5:$A$94,"I18")</f>
        <v>2</v>
      </c>
      <c r="F22" s="6" t="s">
        <v>16</v>
      </c>
      <c r="G22" s="6" t="s">
        <v>17</v>
      </c>
      <c r="H22" s="7" t="s">
        <v>40</v>
      </c>
    </row>
    <row r="23" customFormat="false" ht="23.85" hidden="false" customHeight="false" outlineLevel="0" collapsed="false">
      <c r="A23" s="6" t="n">
        <v>15</v>
      </c>
      <c r="B23" s="6" t="s">
        <v>53</v>
      </c>
      <c r="C23" s="7" t="s">
        <v>25</v>
      </c>
      <c r="D23" s="6" t="s">
        <v>54</v>
      </c>
      <c r="E23" s="8" t="n">
        <f aca="false">COUNTIF(Sayım!$A$5:$A$94,"I19")</f>
        <v>2</v>
      </c>
      <c r="F23" s="6" t="s">
        <v>16</v>
      </c>
      <c r="G23" s="6" t="s">
        <v>17</v>
      </c>
      <c r="H23" s="7" t="s">
        <v>55</v>
      </c>
    </row>
    <row r="24" customFormat="false" ht="15" hidden="false" customHeight="false" outlineLevel="0" collapsed="false">
      <c r="A24" s="5" t="s">
        <v>56</v>
      </c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6" t="n">
        <v>16</v>
      </c>
      <c r="B25" s="6" t="s">
        <v>57</v>
      </c>
      <c r="C25" s="7" t="s">
        <v>58</v>
      </c>
      <c r="D25" s="6" t="s">
        <v>59</v>
      </c>
      <c r="E25" s="8" t="n">
        <f aca="false">COUNTIF(Sayım!$A$5:$A$94,"P01")</f>
        <v>3</v>
      </c>
      <c r="F25" s="6" t="s">
        <v>16</v>
      </c>
      <c r="G25" s="6" t="s">
        <v>17</v>
      </c>
      <c r="H25" s="7" t="s">
        <v>60</v>
      </c>
    </row>
    <row r="26" customFormat="false" ht="15" hidden="false" customHeight="false" outlineLevel="0" collapsed="false">
      <c r="A26" s="6" t="n">
        <v>17</v>
      </c>
      <c r="B26" s="6" t="s">
        <v>61</v>
      </c>
      <c r="C26" s="7" t="s">
        <v>62</v>
      </c>
      <c r="D26" s="6" t="s">
        <v>63</v>
      </c>
      <c r="E26" s="8" t="n">
        <f aca="false">COUNTIF(Sayım!$A$5:$A$94,"P02")</f>
        <v>3</v>
      </c>
      <c r="F26" s="6" t="s">
        <v>16</v>
      </c>
      <c r="G26" s="6" t="s">
        <v>17</v>
      </c>
      <c r="H26" s="7" t="s">
        <v>64</v>
      </c>
    </row>
    <row r="27" customFormat="false" ht="15" hidden="false" customHeight="false" outlineLevel="0" collapsed="false">
      <c r="A27" s="6" t="n">
        <v>18</v>
      </c>
      <c r="B27" s="6" t="s">
        <v>65</v>
      </c>
      <c r="C27" s="7" t="s">
        <v>66</v>
      </c>
      <c r="D27" s="6" t="s">
        <v>67</v>
      </c>
      <c r="E27" s="8" t="n">
        <f aca="false">COUNTIF(Sayım!$A$5:$A$94,"P03")</f>
        <v>2</v>
      </c>
      <c r="F27" s="6" t="s">
        <v>16</v>
      </c>
      <c r="G27" s="6" t="s">
        <v>17</v>
      </c>
      <c r="H27" s="7" t="s">
        <v>68</v>
      </c>
    </row>
    <row r="28" customFormat="false" ht="15" hidden="false" customHeight="false" outlineLevel="0" collapsed="false">
      <c r="A28" s="6" t="n">
        <v>19</v>
      </c>
      <c r="B28" s="6" t="s">
        <v>69</v>
      </c>
      <c r="C28" s="7" t="s">
        <v>70</v>
      </c>
      <c r="D28" s="6" t="s">
        <v>71</v>
      </c>
      <c r="E28" s="8" t="n">
        <f aca="false">COUNTIF(Sayım!$A$5:$A$94,"K01")</f>
        <v>5</v>
      </c>
      <c r="F28" s="6" t="s">
        <v>16</v>
      </c>
      <c r="G28" s="6" t="s">
        <v>17</v>
      </c>
      <c r="H28" s="7" t="s">
        <v>72</v>
      </c>
    </row>
    <row r="29" customFormat="false" ht="15" hidden="false" customHeight="false" outlineLevel="0" collapsed="false">
      <c r="A29" s="6" t="n">
        <v>20</v>
      </c>
      <c r="B29" s="6" t="s">
        <v>73</v>
      </c>
      <c r="C29" s="7" t="s">
        <v>74</v>
      </c>
      <c r="D29" s="6" t="s">
        <v>75</v>
      </c>
      <c r="E29" s="8" t="n">
        <f aca="false">COUNTIF(Sayım!$A$5:$A$94,"K03")</f>
        <v>1</v>
      </c>
      <c r="F29" s="6" t="s">
        <v>16</v>
      </c>
      <c r="G29" s="6" t="s">
        <v>17</v>
      </c>
      <c r="H29" s="7" t="s">
        <v>76</v>
      </c>
    </row>
    <row r="30" customFormat="false" ht="15" hidden="false" customHeight="false" outlineLevel="0" collapsed="false">
      <c r="A30" s="9" t="n">
        <v>21</v>
      </c>
      <c r="B30" s="9" t="s">
        <v>77</v>
      </c>
      <c r="C30" s="10" t="s">
        <v>78</v>
      </c>
      <c r="D30" s="9" t="s">
        <v>63</v>
      </c>
      <c r="E30" s="11" t="n">
        <f aca="false">Metraj!B38</f>
        <v>3</v>
      </c>
      <c r="F30" s="9" t="s">
        <v>16</v>
      </c>
      <c r="G30" s="9" t="s">
        <v>79</v>
      </c>
      <c r="H30" s="10" t="s">
        <v>80</v>
      </c>
    </row>
    <row r="31" customFormat="false" ht="15" hidden="false" customHeight="false" outlineLevel="0" collapsed="false">
      <c r="A31" s="5" t="s">
        <v>81</v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12" t="n">
        <v>22</v>
      </c>
      <c r="B32" s="12" t="s">
        <v>82</v>
      </c>
      <c r="C32" s="13" t="s">
        <v>83</v>
      </c>
      <c r="D32" s="12" t="s">
        <v>84</v>
      </c>
      <c r="E32" s="14" t="n">
        <f aca="false">COUNTIF(Sayım!$A$5:$A$94,"B02")</f>
        <v>2</v>
      </c>
      <c r="F32" s="12" t="s">
        <v>16</v>
      </c>
      <c r="G32" s="12" t="s">
        <v>85</v>
      </c>
      <c r="H32" s="13" t="s">
        <v>86</v>
      </c>
    </row>
    <row r="33" customFormat="false" ht="15" hidden="false" customHeight="false" outlineLevel="0" collapsed="false">
      <c r="A33" s="12" t="n">
        <v>23</v>
      </c>
      <c r="B33" s="12" t="s">
        <v>87</v>
      </c>
      <c r="C33" s="13" t="s">
        <v>88</v>
      </c>
      <c r="D33" s="12" t="s">
        <v>89</v>
      </c>
      <c r="E33" s="14" t="n">
        <f aca="false">COUNTIF(Sayım!$A$5:$A$94,"B05")</f>
        <v>4</v>
      </c>
      <c r="F33" s="12" t="s">
        <v>16</v>
      </c>
      <c r="G33" s="12" t="s">
        <v>85</v>
      </c>
      <c r="H33" s="13" t="s">
        <v>86</v>
      </c>
    </row>
    <row r="34" customFormat="false" ht="15" hidden="false" customHeight="false" outlineLevel="0" collapsed="false">
      <c r="A34" s="12" t="n">
        <v>24</v>
      </c>
      <c r="B34" s="12" t="s">
        <v>90</v>
      </c>
      <c r="C34" s="13" t="s">
        <v>91</v>
      </c>
      <c r="D34" s="12" t="s">
        <v>92</v>
      </c>
      <c r="E34" s="14" t="n">
        <f aca="false">COUNTIF(Sayım!$A$5:$A$94,"B06")</f>
        <v>4</v>
      </c>
      <c r="F34" s="12" t="s">
        <v>16</v>
      </c>
      <c r="G34" s="12" t="s">
        <v>85</v>
      </c>
      <c r="H34" s="13" t="s">
        <v>86</v>
      </c>
    </row>
    <row r="35" customFormat="false" ht="15" hidden="false" customHeight="false" outlineLevel="0" collapsed="false">
      <c r="A35" s="9" t="n">
        <v>25</v>
      </c>
      <c r="B35" s="9" t="s">
        <v>77</v>
      </c>
      <c r="C35" s="10" t="s">
        <v>93</v>
      </c>
      <c r="D35" s="9" t="s">
        <v>94</v>
      </c>
      <c r="E35" s="11" t="n">
        <f aca="false">Metraj!B34</f>
        <v>32</v>
      </c>
      <c r="F35" s="9" t="s">
        <v>16</v>
      </c>
      <c r="G35" s="9" t="s">
        <v>79</v>
      </c>
      <c r="H35" s="10" t="s">
        <v>95</v>
      </c>
    </row>
    <row r="36" customFormat="false" ht="15" hidden="false" customHeight="false" outlineLevel="0" collapsed="false">
      <c r="A36" s="9" t="n">
        <v>26</v>
      </c>
      <c r="B36" s="9" t="s">
        <v>77</v>
      </c>
      <c r="C36" s="10" t="s">
        <v>96</v>
      </c>
      <c r="D36" s="9" t="s">
        <v>94</v>
      </c>
      <c r="E36" s="11" t="n">
        <f aca="false">Metraj!B35</f>
        <v>19</v>
      </c>
      <c r="F36" s="9" t="s">
        <v>16</v>
      </c>
      <c r="G36" s="9" t="s">
        <v>79</v>
      </c>
      <c r="H36" s="10" t="s">
        <v>97</v>
      </c>
    </row>
    <row r="37" customFormat="false" ht="15" hidden="false" customHeight="false" outlineLevel="0" collapsed="false">
      <c r="A37" s="9" t="n">
        <v>27</v>
      </c>
      <c r="B37" s="9" t="s">
        <v>77</v>
      </c>
      <c r="C37" s="10" t="s">
        <v>98</v>
      </c>
      <c r="D37" s="9" t="s">
        <v>99</v>
      </c>
      <c r="E37" s="11" t="n">
        <f aca="false">Metraj!B36</f>
        <v>12</v>
      </c>
      <c r="F37" s="9" t="s">
        <v>16</v>
      </c>
      <c r="G37" s="9" t="s">
        <v>79</v>
      </c>
      <c r="H37" s="10" t="s">
        <v>100</v>
      </c>
    </row>
    <row r="38" customFormat="false" ht="15" hidden="false" customHeight="false" outlineLevel="0" collapsed="false">
      <c r="A38" s="9" t="n">
        <v>28</v>
      </c>
      <c r="B38" s="9" t="s">
        <v>77</v>
      </c>
      <c r="C38" s="10" t="s">
        <v>101</v>
      </c>
      <c r="D38" s="9" t="s">
        <v>99</v>
      </c>
      <c r="E38" s="11" t="n">
        <f aca="false">Metraj!B37</f>
        <v>9</v>
      </c>
      <c r="F38" s="9" t="s">
        <v>16</v>
      </c>
      <c r="G38" s="9" t="s">
        <v>79</v>
      </c>
      <c r="H38" s="10" t="s">
        <v>102</v>
      </c>
    </row>
    <row r="39" customFormat="false" ht="15" hidden="false" customHeight="false" outlineLevel="0" collapsed="false">
      <c r="A39" s="5" t="s">
        <v>103</v>
      </c>
      <c r="B39" s="5"/>
      <c r="C39" s="5"/>
      <c r="D39" s="5"/>
      <c r="E39" s="5"/>
      <c r="F39" s="5"/>
      <c r="G39" s="5"/>
      <c r="H39" s="5"/>
    </row>
    <row r="40" customFormat="false" ht="15" hidden="false" customHeight="false" outlineLevel="0" collapsed="false">
      <c r="A40" s="9" t="n">
        <v>29</v>
      </c>
      <c r="B40" s="9" t="s">
        <v>77</v>
      </c>
      <c r="C40" s="10" t="s">
        <v>104</v>
      </c>
      <c r="D40" s="9" t="s">
        <v>105</v>
      </c>
      <c r="E40" s="11" t="n">
        <f aca="false">Metraj!B40</f>
        <v>2</v>
      </c>
      <c r="F40" s="9" t="s">
        <v>16</v>
      </c>
      <c r="G40" s="9" t="s">
        <v>79</v>
      </c>
      <c r="H40" s="10" t="s">
        <v>106</v>
      </c>
    </row>
    <row r="41" customFormat="false" ht="15" hidden="false" customHeight="false" outlineLevel="0" collapsed="false">
      <c r="A41" s="9" t="n">
        <v>30</v>
      </c>
      <c r="B41" s="9" t="s">
        <v>77</v>
      </c>
      <c r="C41" s="10" t="s">
        <v>107</v>
      </c>
      <c r="D41" s="9" t="s">
        <v>105</v>
      </c>
      <c r="E41" s="11" t="n">
        <f aca="false">Metraj!B41</f>
        <v>8</v>
      </c>
      <c r="F41" s="9" t="s">
        <v>16</v>
      </c>
      <c r="G41" s="9" t="s">
        <v>79</v>
      </c>
      <c r="H41" s="10" t="s">
        <v>108</v>
      </c>
    </row>
    <row r="42" customFormat="false" ht="15" hidden="false" customHeight="false" outlineLevel="0" collapsed="false">
      <c r="A42" s="6" t="n">
        <v>31</v>
      </c>
      <c r="B42" s="6" t="s">
        <v>77</v>
      </c>
      <c r="C42" s="7" t="s">
        <v>109</v>
      </c>
      <c r="D42" s="6" t="str">
        <f aca="false">CONCATENATE("L ",ROUNDUP(Metraj!B46*100,0)*10)</f>
        <v>L 5900</v>
      </c>
      <c r="E42" s="8" t="n">
        <f aca="false">Metraj!B45</f>
        <v>26</v>
      </c>
      <c r="F42" s="6" t="s">
        <v>16</v>
      </c>
      <c r="G42" s="6" t="s">
        <v>110</v>
      </c>
      <c r="H42" s="7" t="s">
        <v>111</v>
      </c>
    </row>
    <row r="43" customFormat="false" ht="15" hidden="false" customHeight="false" outlineLevel="0" collapsed="false">
      <c r="A43" s="6" t="n">
        <v>32</v>
      </c>
      <c r="B43" s="6" t="s">
        <v>77</v>
      </c>
      <c r="C43" s="7" t="s">
        <v>112</v>
      </c>
      <c r="D43" s="6" t="s">
        <v>94</v>
      </c>
      <c r="E43" s="8" t="n">
        <f aca="false">Metraj!B47</f>
        <v>5</v>
      </c>
      <c r="F43" s="6" t="s">
        <v>16</v>
      </c>
      <c r="G43" s="6" t="s">
        <v>110</v>
      </c>
      <c r="H43" s="7" t="s">
        <v>113</v>
      </c>
    </row>
    <row r="44" customFormat="false" ht="15" hidden="false" customHeight="false" outlineLevel="0" collapsed="false">
      <c r="A44" s="6" t="n">
        <v>33</v>
      </c>
      <c r="B44" s="6" t="s">
        <v>77</v>
      </c>
      <c r="C44" s="7" t="s">
        <v>114</v>
      </c>
      <c r="D44" s="6" t="s">
        <v>94</v>
      </c>
      <c r="E44" s="8" t="n">
        <f aca="false">Metraj!B48</f>
        <v>10</v>
      </c>
      <c r="F44" s="6" t="s">
        <v>16</v>
      </c>
      <c r="G44" s="6" t="s">
        <v>110</v>
      </c>
      <c r="H44" s="7" t="s">
        <v>115</v>
      </c>
    </row>
    <row r="45" customFormat="false" ht="15" hidden="false" customHeight="false" outlineLevel="0" collapsed="false">
      <c r="A45" s="6" t="n">
        <v>34</v>
      </c>
      <c r="B45" s="6" t="s">
        <v>77</v>
      </c>
      <c r="C45" s="7" t="s">
        <v>116</v>
      </c>
      <c r="D45" s="6" t="s">
        <v>94</v>
      </c>
      <c r="E45" s="8" t="n">
        <f aca="false">Metraj!B49</f>
        <v>10</v>
      </c>
      <c r="F45" s="6" t="s">
        <v>16</v>
      </c>
      <c r="G45" s="6" t="s">
        <v>110</v>
      </c>
      <c r="H45" s="7" t="s">
        <v>117</v>
      </c>
    </row>
    <row r="46" customFormat="false" ht="15" hidden="false" customHeight="false" outlineLevel="0" collapsed="false">
      <c r="A46" s="9" t="n">
        <v>35</v>
      </c>
      <c r="B46" s="9" t="s">
        <v>77</v>
      </c>
      <c r="C46" s="10" t="s">
        <v>118</v>
      </c>
      <c r="D46" s="9" t="s">
        <v>99</v>
      </c>
      <c r="E46" s="11" t="n">
        <f aca="false">Metraj!B51</f>
        <v>68</v>
      </c>
      <c r="F46" s="9" t="s">
        <v>16</v>
      </c>
      <c r="G46" s="9" t="s">
        <v>79</v>
      </c>
      <c r="H46" s="10" t="s">
        <v>119</v>
      </c>
    </row>
    <row r="47" customFormat="false" ht="15" hidden="false" customHeight="false" outlineLevel="0" collapsed="false">
      <c r="A47" s="9" t="n">
        <v>36</v>
      </c>
      <c r="B47" s="9" t="s">
        <v>77</v>
      </c>
      <c r="C47" s="10" t="s">
        <v>120</v>
      </c>
      <c r="D47" s="9" t="s">
        <v>121</v>
      </c>
      <c r="E47" s="11" t="n">
        <f aca="false">Metraj!B55</f>
        <v>13</v>
      </c>
      <c r="F47" s="9" t="s">
        <v>16</v>
      </c>
      <c r="G47" s="9" t="s">
        <v>79</v>
      </c>
      <c r="H47" s="10" t="s">
        <v>122</v>
      </c>
    </row>
    <row r="48" customFormat="false" ht="15" hidden="false" customHeight="false" outlineLevel="0" collapsed="false">
      <c r="A48" s="5" t="s">
        <v>123</v>
      </c>
      <c r="B48" s="5"/>
      <c r="C48" s="5"/>
      <c r="D48" s="5"/>
      <c r="E48" s="5"/>
      <c r="F48" s="5"/>
      <c r="G48" s="5"/>
      <c r="H48" s="5"/>
    </row>
    <row r="49" customFormat="false" ht="15" hidden="false" customHeight="false" outlineLevel="0" collapsed="false">
      <c r="A49" s="9" t="n">
        <v>37</v>
      </c>
      <c r="B49" s="9" t="s">
        <v>77</v>
      </c>
      <c r="C49" s="10" t="s">
        <v>124</v>
      </c>
      <c r="D49" s="9" t="s">
        <v>125</v>
      </c>
      <c r="E49" s="11" t="n">
        <f aca="false">Metraj!B54</f>
        <v>41</v>
      </c>
      <c r="F49" s="9" t="s">
        <v>16</v>
      </c>
      <c r="G49" s="9" t="s">
        <v>79</v>
      </c>
      <c r="H49" s="10" t="s">
        <v>126</v>
      </c>
    </row>
    <row r="50" customFormat="false" ht="15" hidden="false" customHeight="false" outlineLevel="0" collapsed="false">
      <c r="A50" s="5" t="s">
        <v>127</v>
      </c>
      <c r="B50" s="5"/>
      <c r="C50" s="5"/>
      <c r="D50" s="5"/>
      <c r="E50" s="5"/>
      <c r="F50" s="5"/>
      <c r="G50" s="5"/>
      <c r="H50" s="5"/>
    </row>
    <row r="51" customFormat="false" ht="15" hidden="false" customHeight="false" outlineLevel="0" collapsed="false">
      <c r="A51" s="12" t="n">
        <v>38</v>
      </c>
      <c r="B51" s="12" t="s">
        <v>77</v>
      </c>
      <c r="C51" s="13" t="s">
        <v>128</v>
      </c>
      <c r="D51" s="12" t="s">
        <v>129</v>
      </c>
      <c r="E51" s="14" t="n">
        <f aca="false">Metraj!B57</f>
        <v>7</v>
      </c>
      <c r="F51" s="12" t="s">
        <v>16</v>
      </c>
      <c r="G51" s="12" t="s">
        <v>85</v>
      </c>
      <c r="H51" s="13" t="s">
        <v>130</v>
      </c>
    </row>
    <row r="52" customFormat="false" ht="15" hidden="false" customHeight="false" outlineLevel="0" collapsed="false">
      <c r="A52" s="12" t="n">
        <v>39</v>
      </c>
      <c r="B52" s="12" t="s">
        <v>77</v>
      </c>
      <c r="C52" s="13" t="s">
        <v>131</v>
      </c>
      <c r="D52" s="12"/>
      <c r="E52" s="14" t="n">
        <f aca="false">Metraj!B59</f>
        <v>56</v>
      </c>
      <c r="F52" s="12" t="s">
        <v>16</v>
      </c>
      <c r="G52" s="12" t="s">
        <v>85</v>
      </c>
      <c r="H52" s="13" t="s">
        <v>132</v>
      </c>
    </row>
    <row r="53" customFormat="false" ht="15" hidden="false" customHeight="false" outlineLevel="0" collapsed="false">
      <c r="A53" s="12" t="n">
        <v>40</v>
      </c>
      <c r="B53" s="12" t="s">
        <v>77</v>
      </c>
      <c r="C53" s="13" t="s">
        <v>133</v>
      </c>
      <c r="D53" s="12" t="s">
        <v>134</v>
      </c>
      <c r="E53" s="14" t="n">
        <f aca="false">Metraj!B58</f>
        <v>6</v>
      </c>
      <c r="F53" s="12" t="s">
        <v>16</v>
      </c>
      <c r="G53" s="12" t="s">
        <v>85</v>
      </c>
      <c r="H53" s="13" t="s">
        <v>135</v>
      </c>
    </row>
    <row r="54" customFormat="false" ht="15" hidden="false" customHeight="false" outlineLevel="0" collapsed="false">
      <c r="A54" s="12" t="n">
        <v>41</v>
      </c>
      <c r="B54" s="12" t="s">
        <v>77</v>
      </c>
      <c r="C54" s="13" t="s">
        <v>136</v>
      </c>
      <c r="D54" s="12"/>
      <c r="E54" s="14" t="n">
        <f aca="false">Metraj!B58</f>
        <v>6</v>
      </c>
      <c r="F54" s="12" t="s">
        <v>16</v>
      </c>
      <c r="G54" s="12" t="s">
        <v>85</v>
      </c>
      <c r="H54" s="13" t="s">
        <v>137</v>
      </c>
    </row>
    <row r="55" customFormat="false" ht="15" hidden="false" customHeight="false" outlineLevel="0" collapsed="false">
      <c r="A55" s="12" t="n">
        <v>42</v>
      </c>
      <c r="B55" s="12" t="s">
        <v>77</v>
      </c>
      <c r="C55" s="13" t="s">
        <v>138</v>
      </c>
      <c r="D55" s="12"/>
      <c r="E55" s="14" t="n">
        <f aca="false">Metraj!B58</f>
        <v>6</v>
      </c>
      <c r="F55" s="12" t="s">
        <v>16</v>
      </c>
      <c r="G55" s="12" t="s">
        <v>85</v>
      </c>
      <c r="H55" s="13" t="s">
        <v>137</v>
      </c>
    </row>
    <row r="56" customFormat="false" ht="15" hidden="false" customHeight="false" outlineLevel="0" collapsed="false">
      <c r="A56" s="12" t="n">
        <v>43</v>
      </c>
      <c r="B56" s="12" t="s">
        <v>77</v>
      </c>
      <c r="C56" s="13" t="s">
        <v>139</v>
      </c>
      <c r="D56" s="12"/>
      <c r="E56" s="14" t="n">
        <f aca="false">Metraj!B60</f>
        <v>12</v>
      </c>
      <c r="F56" s="12" t="s">
        <v>16</v>
      </c>
      <c r="G56" s="12" t="s">
        <v>85</v>
      </c>
      <c r="H56" s="13" t="s">
        <v>140</v>
      </c>
    </row>
    <row r="57" customFormat="false" ht="15" hidden="false" customHeight="false" outlineLevel="0" collapsed="false">
      <c r="A57" s="12" t="n">
        <v>44</v>
      </c>
      <c r="B57" s="12" t="s">
        <v>77</v>
      </c>
      <c r="C57" s="13" t="s">
        <v>141</v>
      </c>
      <c r="D57" s="12"/>
      <c r="E57" s="14" t="n">
        <f aca="false">Metraj!B61</f>
        <v>12</v>
      </c>
      <c r="F57" s="12" t="s">
        <v>16</v>
      </c>
      <c r="G57" s="12" t="s">
        <v>85</v>
      </c>
      <c r="H57" s="13" t="s">
        <v>140</v>
      </c>
    </row>
    <row r="59" customFormat="false" ht="15" hidden="false" customHeight="false" outlineLevel="0" collapsed="false">
      <c r="A59" s="15" t="s">
        <v>142</v>
      </c>
      <c r="B59" s="16"/>
      <c r="C59" s="16"/>
      <c r="D59" s="16"/>
      <c r="E59" s="17" t="n">
        <f aca="false">E8+E9+E10+E11+E12+E13+E14+E16+E17+E18+E19+E20+E21+E22+E23</f>
        <v>66</v>
      </c>
      <c r="F59" s="16" t="s">
        <v>16</v>
      </c>
      <c r="G59" s="16"/>
      <c r="H59" s="18" t="str">
        <f aca="false">IF(E59=COUNTIF(Sayım!$C$5:$C$94,"Dış pano")+COUNTIF(Sayım!$C$5:$C$94,"İç pano"),"Sayım sayfasındaki pano satırlarıyla aynı.","UYARI: Sayım sayfasıyla tutmuyor.")</f>
        <v>Sayım sayfasındaki pano satırlarıyla aynı.</v>
      </c>
    </row>
    <row r="61" customFormat="false" ht="15" hidden="false" customHeight="false" outlineLevel="0" collapsed="false">
      <c r="A61" s="3" t="s">
        <v>143</v>
      </c>
    </row>
    <row r="62" customFormat="false" ht="15" hidden="false" customHeight="false" outlineLevel="0" collapsed="false">
      <c r="A62" s="3" t="s">
        <v>144</v>
      </c>
    </row>
    <row r="63" customFormat="false" ht="15" hidden="false" customHeight="false" outlineLevel="0" collapsed="false">
      <c r="A63" s="3" t="s">
        <v>145</v>
      </c>
    </row>
    <row r="64" customFormat="false" ht="15" hidden="false" customHeight="false" outlineLevel="0" collapsed="false">
      <c r="A64" s="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1" min="10" style="0" width="13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2" t="s">
        <v>147</v>
      </c>
    </row>
    <row r="2" customFormat="false" ht="15" hidden="false" customHeight="false" outlineLevel="0" collapsed="false">
      <c r="A2" s="3" t="s">
        <v>148</v>
      </c>
    </row>
    <row r="4" customFormat="false" ht="15" hidden="false" customHeight="false" outlineLevel="0" collapsed="false">
      <c r="A4" s="4" t="s">
        <v>5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153</v>
      </c>
      <c r="G4" s="4" t="s">
        <v>154</v>
      </c>
      <c r="H4" s="4" t="s">
        <v>155</v>
      </c>
      <c r="I4" s="4" t="s">
        <v>156</v>
      </c>
      <c r="J4" s="4" t="s">
        <v>157</v>
      </c>
      <c r="K4" s="4" t="s">
        <v>158</v>
      </c>
      <c r="L4" s="4" t="s">
        <v>159</v>
      </c>
    </row>
    <row r="5" customFormat="false" ht="15" hidden="false" customHeight="false" outlineLevel="0" collapsed="false">
      <c r="A5" s="6" t="s">
        <v>13</v>
      </c>
      <c r="B5" s="7" t="s">
        <v>14</v>
      </c>
      <c r="C5" s="6" t="s">
        <v>160</v>
      </c>
      <c r="D5" s="7" t="s">
        <v>161</v>
      </c>
      <c r="E5" s="6" t="s">
        <v>162</v>
      </c>
      <c r="F5" s="6" t="n">
        <v>1255</v>
      </c>
      <c r="G5" s="6" t="n">
        <v>160</v>
      </c>
      <c r="H5" s="6" t="n">
        <v>2800</v>
      </c>
      <c r="I5" s="7"/>
      <c r="J5" s="6" t="n">
        <v>78.75</v>
      </c>
      <c r="K5" s="6" t="n">
        <v>8</v>
      </c>
      <c r="L5" s="7" t="s">
        <v>163</v>
      </c>
    </row>
    <row r="6" customFormat="false" ht="15" hidden="false" customHeight="false" outlineLevel="0" collapsed="false">
      <c r="A6" s="6" t="s">
        <v>18</v>
      </c>
      <c r="B6" s="7" t="s">
        <v>19</v>
      </c>
      <c r="C6" s="6" t="s">
        <v>160</v>
      </c>
      <c r="D6" s="7" t="s">
        <v>161</v>
      </c>
      <c r="E6" s="6" t="s">
        <v>164</v>
      </c>
      <c r="F6" s="6" t="n">
        <v>1255</v>
      </c>
      <c r="G6" s="6" t="n">
        <v>160</v>
      </c>
      <c r="H6" s="6" t="n">
        <v>2800</v>
      </c>
      <c r="I6" s="7" t="s">
        <v>165</v>
      </c>
      <c r="J6" s="6" t="n">
        <v>204.25</v>
      </c>
      <c r="K6" s="6" t="n">
        <v>8</v>
      </c>
      <c r="L6" s="7" t="s">
        <v>166</v>
      </c>
    </row>
    <row r="7" customFormat="false" ht="15" hidden="false" customHeight="false" outlineLevel="0" collapsed="false">
      <c r="A7" s="6" t="s">
        <v>61</v>
      </c>
      <c r="B7" s="7" t="s">
        <v>62</v>
      </c>
      <c r="C7" s="6" t="s">
        <v>167</v>
      </c>
      <c r="D7" s="7" t="s">
        <v>161</v>
      </c>
      <c r="E7" s="6" t="s">
        <v>164</v>
      </c>
      <c r="F7" s="6" t="n">
        <v>1200</v>
      </c>
      <c r="G7" s="6"/>
      <c r="H7" s="6" t="n">
        <v>1800</v>
      </c>
      <c r="I7" s="7" t="s">
        <v>165</v>
      </c>
      <c r="J7" s="6" t="n">
        <v>204.25</v>
      </c>
      <c r="K7" s="6" t="n">
        <v>8</v>
      </c>
      <c r="L7" s="7"/>
    </row>
    <row r="8" customFormat="false" ht="15" hidden="false" customHeight="false" outlineLevel="0" collapsed="false">
      <c r="A8" s="6" t="s">
        <v>18</v>
      </c>
      <c r="B8" s="7" t="s">
        <v>19</v>
      </c>
      <c r="C8" s="6" t="s">
        <v>160</v>
      </c>
      <c r="D8" s="7" t="s">
        <v>161</v>
      </c>
      <c r="E8" s="6" t="s">
        <v>168</v>
      </c>
      <c r="F8" s="6" t="n">
        <v>1255</v>
      </c>
      <c r="G8" s="6" t="n">
        <v>160</v>
      </c>
      <c r="H8" s="6" t="n">
        <v>2800</v>
      </c>
      <c r="I8" s="7" t="s">
        <v>165</v>
      </c>
      <c r="J8" s="6" t="n">
        <v>329.75</v>
      </c>
      <c r="K8" s="6" t="n">
        <v>8</v>
      </c>
      <c r="L8" s="7" t="s">
        <v>169</v>
      </c>
    </row>
    <row r="9" customFormat="false" ht="15" hidden="false" customHeight="false" outlineLevel="0" collapsed="false">
      <c r="A9" s="6" t="s">
        <v>61</v>
      </c>
      <c r="B9" s="7" t="s">
        <v>62</v>
      </c>
      <c r="C9" s="6" t="s">
        <v>167</v>
      </c>
      <c r="D9" s="7" t="s">
        <v>161</v>
      </c>
      <c r="E9" s="6" t="s">
        <v>168</v>
      </c>
      <c r="F9" s="6" t="n">
        <v>1200</v>
      </c>
      <c r="G9" s="6"/>
      <c r="H9" s="6" t="n">
        <v>1800</v>
      </c>
      <c r="I9" s="7" t="s">
        <v>165</v>
      </c>
      <c r="J9" s="6" t="n">
        <v>329.75</v>
      </c>
      <c r="K9" s="6" t="n">
        <v>8</v>
      </c>
      <c r="L9" s="7"/>
    </row>
    <row r="10" customFormat="false" ht="15" hidden="false" customHeight="false" outlineLevel="0" collapsed="false">
      <c r="A10" s="6" t="s">
        <v>21</v>
      </c>
      <c r="B10" s="7" t="s">
        <v>22</v>
      </c>
      <c r="C10" s="6" t="s">
        <v>160</v>
      </c>
      <c r="D10" s="7" t="s">
        <v>161</v>
      </c>
      <c r="E10" s="6" t="s">
        <v>170</v>
      </c>
      <c r="F10" s="6" t="n">
        <v>1255</v>
      </c>
      <c r="G10" s="6" t="n">
        <v>160</v>
      </c>
      <c r="H10" s="6" t="n">
        <v>2800</v>
      </c>
      <c r="I10" s="7" t="s">
        <v>171</v>
      </c>
      <c r="J10" s="6" t="n">
        <v>455.25</v>
      </c>
      <c r="K10" s="6" t="n">
        <v>8</v>
      </c>
      <c r="L10" s="7" t="s">
        <v>172</v>
      </c>
    </row>
    <row r="11" customFormat="false" ht="15" hidden="false" customHeight="false" outlineLevel="0" collapsed="false">
      <c r="A11" s="6" t="s">
        <v>73</v>
      </c>
      <c r="B11" s="7" t="s">
        <v>74</v>
      </c>
      <c r="C11" s="6" t="s">
        <v>173</v>
      </c>
      <c r="D11" s="7" t="s">
        <v>161</v>
      </c>
      <c r="E11" s="6" t="s">
        <v>170</v>
      </c>
      <c r="F11" s="6" t="n">
        <v>900</v>
      </c>
      <c r="G11" s="6"/>
      <c r="H11" s="6"/>
      <c r="I11" s="7" t="s">
        <v>171</v>
      </c>
      <c r="J11" s="6" t="n">
        <v>455.25</v>
      </c>
      <c r="K11" s="6" t="n">
        <v>8</v>
      </c>
      <c r="L11" s="7"/>
    </row>
    <row r="12" customFormat="false" ht="15" hidden="false" customHeight="false" outlineLevel="0" collapsed="false">
      <c r="A12" s="6" t="s">
        <v>13</v>
      </c>
      <c r="B12" s="7" t="s">
        <v>14</v>
      </c>
      <c r="C12" s="6" t="s">
        <v>160</v>
      </c>
      <c r="D12" s="7" t="s">
        <v>161</v>
      </c>
      <c r="E12" s="6" t="s">
        <v>174</v>
      </c>
      <c r="F12" s="6" t="n">
        <v>1255</v>
      </c>
      <c r="G12" s="6" t="n">
        <v>160</v>
      </c>
      <c r="H12" s="6" t="n">
        <v>2800</v>
      </c>
      <c r="I12" s="7"/>
      <c r="J12" s="6" t="n">
        <v>580.75</v>
      </c>
      <c r="K12" s="6" t="n">
        <v>8</v>
      </c>
      <c r="L12" s="7" t="s">
        <v>175</v>
      </c>
    </row>
    <row r="13" customFormat="false" ht="15" hidden="false" customHeight="false" outlineLevel="0" collapsed="false">
      <c r="A13" s="6" t="s">
        <v>13</v>
      </c>
      <c r="B13" s="7" t="s">
        <v>14</v>
      </c>
      <c r="C13" s="6" t="s">
        <v>160</v>
      </c>
      <c r="D13" s="7" t="s">
        <v>161</v>
      </c>
      <c r="E13" s="6" t="s">
        <v>176</v>
      </c>
      <c r="F13" s="6" t="n">
        <v>1255</v>
      </c>
      <c r="G13" s="6" t="n">
        <v>160</v>
      </c>
      <c r="H13" s="6" t="n">
        <v>2800</v>
      </c>
      <c r="I13" s="7"/>
      <c r="J13" s="6" t="n">
        <v>706.25</v>
      </c>
      <c r="K13" s="6" t="n">
        <v>8</v>
      </c>
      <c r="L13" s="7" t="s">
        <v>177</v>
      </c>
    </row>
    <row r="14" customFormat="false" ht="15" hidden="false" customHeight="false" outlineLevel="0" collapsed="false">
      <c r="A14" s="6" t="s">
        <v>18</v>
      </c>
      <c r="B14" s="7" t="s">
        <v>19</v>
      </c>
      <c r="C14" s="6" t="s">
        <v>160</v>
      </c>
      <c r="D14" s="7" t="s">
        <v>161</v>
      </c>
      <c r="E14" s="6" t="s">
        <v>178</v>
      </c>
      <c r="F14" s="6" t="n">
        <v>1255</v>
      </c>
      <c r="G14" s="6" t="n">
        <v>160</v>
      </c>
      <c r="H14" s="6" t="n">
        <v>2800</v>
      </c>
      <c r="I14" s="7" t="s">
        <v>165</v>
      </c>
      <c r="J14" s="6" t="n">
        <v>831.75</v>
      </c>
      <c r="K14" s="6" t="n">
        <v>8</v>
      </c>
      <c r="L14" s="7" t="s">
        <v>179</v>
      </c>
    </row>
    <row r="15" customFormat="false" ht="15" hidden="false" customHeight="false" outlineLevel="0" collapsed="false">
      <c r="A15" s="6" t="s">
        <v>61</v>
      </c>
      <c r="B15" s="7" t="s">
        <v>62</v>
      </c>
      <c r="C15" s="6" t="s">
        <v>167</v>
      </c>
      <c r="D15" s="7" t="s">
        <v>161</v>
      </c>
      <c r="E15" s="6" t="s">
        <v>178</v>
      </c>
      <c r="F15" s="6" t="n">
        <v>1200</v>
      </c>
      <c r="G15" s="6"/>
      <c r="H15" s="6" t="n">
        <v>1800</v>
      </c>
      <c r="I15" s="7" t="s">
        <v>165</v>
      </c>
      <c r="J15" s="6" t="n">
        <v>831.75</v>
      </c>
      <c r="K15" s="6" t="n">
        <v>8</v>
      </c>
      <c r="L15" s="7"/>
    </row>
    <row r="16" customFormat="false" ht="15" hidden="false" customHeight="false" outlineLevel="0" collapsed="false">
      <c r="A16" s="6" t="s">
        <v>13</v>
      </c>
      <c r="B16" s="7" t="s">
        <v>14</v>
      </c>
      <c r="C16" s="6" t="s">
        <v>160</v>
      </c>
      <c r="D16" s="7" t="s">
        <v>161</v>
      </c>
      <c r="E16" s="6" t="s">
        <v>180</v>
      </c>
      <c r="F16" s="6" t="n">
        <v>1255</v>
      </c>
      <c r="G16" s="6" t="n">
        <v>160</v>
      </c>
      <c r="H16" s="6" t="n">
        <v>2800</v>
      </c>
      <c r="I16" s="7"/>
      <c r="J16" s="6" t="n">
        <v>957.25</v>
      </c>
      <c r="K16" s="6" t="n">
        <v>8</v>
      </c>
      <c r="L16" s="7" t="s">
        <v>181</v>
      </c>
    </row>
    <row r="17" customFormat="false" ht="15" hidden="false" customHeight="false" outlineLevel="0" collapsed="false">
      <c r="A17" s="6" t="s">
        <v>24</v>
      </c>
      <c r="B17" s="7" t="s">
        <v>25</v>
      </c>
      <c r="C17" s="6" t="s">
        <v>160</v>
      </c>
      <c r="D17" s="7" t="s">
        <v>161</v>
      </c>
      <c r="E17" s="6" t="s">
        <v>182</v>
      </c>
      <c r="F17" s="6" t="n">
        <v>1140</v>
      </c>
      <c r="G17" s="6" t="n">
        <v>160</v>
      </c>
      <c r="H17" s="6" t="n">
        <v>2800</v>
      </c>
      <c r="I17" s="7"/>
      <c r="J17" s="6" t="n">
        <v>1077</v>
      </c>
      <c r="K17" s="6" t="n">
        <v>8</v>
      </c>
      <c r="L17" s="7" t="s">
        <v>183</v>
      </c>
    </row>
    <row r="18" customFormat="false" ht="15" hidden="false" customHeight="false" outlineLevel="0" collapsed="false">
      <c r="A18" s="6" t="s">
        <v>38</v>
      </c>
      <c r="B18" s="7" t="s">
        <v>25</v>
      </c>
      <c r="C18" s="6" t="s">
        <v>184</v>
      </c>
      <c r="D18" s="7" t="s">
        <v>185</v>
      </c>
      <c r="E18" s="6" t="s">
        <v>186</v>
      </c>
      <c r="F18" s="6" t="n">
        <v>1205</v>
      </c>
      <c r="G18" s="6" t="n">
        <v>100</v>
      </c>
      <c r="H18" s="6" t="n">
        <v>2800</v>
      </c>
      <c r="I18" s="7"/>
      <c r="J18" s="6" t="n">
        <v>1022.5</v>
      </c>
      <c r="K18" s="6" t="n">
        <v>321.75</v>
      </c>
      <c r="L18" s="7" t="s">
        <v>187</v>
      </c>
    </row>
    <row r="19" customFormat="false" ht="15" hidden="false" customHeight="false" outlineLevel="0" collapsed="false">
      <c r="A19" s="6" t="s">
        <v>41</v>
      </c>
      <c r="B19" s="7" t="s">
        <v>25</v>
      </c>
      <c r="C19" s="6" t="s">
        <v>184</v>
      </c>
      <c r="D19" s="7" t="s">
        <v>185</v>
      </c>
      <c r="E19" s="6" t="s">
        <v>188</v>
      </c>
      <c r="F19" s="19" t="n">
        <v>512.5</v>
      </c>
      <c r="G19" s="6" t="n">
        <v>100</v>
      </c>
      <c r="H19" s="6" t="n">
        <v>2800</v>
      </c>
      <c r="I19" s="7"/>
      <c r="J19" s="6" t="n">
        <v>1108.38</v>
      </c>
      <c r="K19" s="6" t="n">
        <v>321.75</v>
      </c>
      <c r="L19" s="7" t="s">
        <v>189</v>
      </c>
    </row>
    <row r="20" customFormat="false" ht="15" hidden="false" customHeight="false" outlineLevel="0" collapsed="false">
      <c r="A20" s="6" t="s">
        <v>43</v>
      </c>
      <c r="B20" s="7" t="s">
        <v>14</v>
      </c>
      <c r="C20" s="6" t="s">
        <v>184</v>
      </c>
      <c r="D20" s="7" t="s">
        <v>190</v>
      </c>
      <c r="E20" s="6" t="s">
        <v>191</v>
      </c>
      <c r="F20" s="6" t="n">
        <v>1255</v>
      </c>
      <c r="G20" s="6" t="n">
        <v>100</v>
      </c>
      <c r="H20" s="6" t="n">
        <v>2800</v>
      </c>
      <c r="I20" s="7"/>
      <c r="J20" s="6" t="n">
        <v>580.75</v>
      </c>
      <c r="K20" s="6" t="n">
        <v>447.25</v>
      </c>
      <c r="L20" s="7" t="s">
        <v>192</v>
      </c>
    </row>
    <row r="21" customFormat="false" ht="15" hidden="false" customHeight="false" outlineLevel="0" collapsed="false">
      <c r="A21" s="6" t="s">
        <v>45</v>
      </c>
      <c r="B21" s="7" t="s">
        <v>46</v>
      </c>
      <c r="C21" s="6" t="s">
        <v>184</v>
      </c>
      <c r="D21" s="7" t="s">
        <v>190</v>
      </c>
      <c r="E21" s="6" t="s">
        <v>193</v>
      </c>
      <c r="F21" s="6" t="n">
        <v>1255</v>
      </c>
      <c r="G21" s="6" t="n">
        <v>100</v>
      </c>
      <c r="H21" s="6" t="n">
        <v>2800</v>
      </c>
      <c r="I21" s="7" t="s">
        <v>194</v>
      </c>
      <c r="J21" s="6" t="n">
        <v>706.25</v>
      </c>
      <c r="K21" s="6" t="n">
        <v>447.25</v>
      </c>
      <c r="L21" s="7" t="s">
        <v>195</v>
      </c>
    </row>
    <row r="22" customFormat="false" ht="15" hidden="false" customHeight="false" outlineLevel="0" collapsed="false">
      <c r="A22" s="6" t="s">
        <v>69</v>
      </c>
      <c r="B22" s="7" t="s">
        <v>70</v>
      </c>
      <c r="C22" s="6" t="s">
        <v>173</v>
      </c>
      <c r="D22" s="7" t="s">
        <v>190</v>
      </c>
      <c r="E22" s="6" t="s">
        <v>193</v>
      </c>
      <c r="F22" s="6" t="n">
        <v>820</v>
      </c>
      <c r="G22" s="6"/>
      <c r="H22" s="6"/>
      <c r="I22" s="7" t="s">
        <v>194</v>
      </c>
      <c r="J22" s="6" t="n">
        <v>706.25</v>
      </c>
      <c r="K22" s="6" t="n">
        <v>447.25</v>
      </c>
      <c r="L22" s="7"/>
    </row>
    <row r="23" customFormat="false" ht="15" hidden="false" customHeight="false" outlineLevel="0" collapsed="false">
      <c r="A23" s="6" t="s">
        <v>43</v>
      </c>
      <c r="B23" s="7" t="s">
        <v>14</v>
      </c>
      <c r="C23" s="6" t="s">
        <v>184</v>
      </c>
      <c r="D23" s="7" t="s">
        <v>190</v>
      </c>
      <c r="E23" s="6" t="s">
        <v>196</v>
      </c>
      <c r="F23" s="6" t="n">
        <v>1255</v>
      </c>
      <c r="G23" s="6" t="n">
        <v>100</v>
      </c>
      <c r="H23" s="6" t="n">
        <v>2800</v>
      </c>
      <c r="I23" s="7"/>
      <c r="J23" s="6" t="n">
        <v>831.75</v>
      </c>
      <c r="K23" s="6" t="n">
        <v>447.25</v>
      </c>
      <c r="L23" s="7" t="s">
        <v>197</v>
      </c>
    </row>
    <row r="24" customFormat="false" ht="15" hidden="false" customHeight="false" outlineLevel="0" collapsed="false">
      <c r="A24" s="6" t="s">
        <v>47</v>
      </c>
      <c r="B24" s="7" t="s">
        <v>25</v>
      </c>
      <c r="C24" s="6" t="s">
        <v>184</v>
      </c>
      <c r="D24" s="7" t="s">
        <v>190</v>
      </c>
      <c r="E24" s="6" t="s">
        <v>198</v>
      </c>
      <c r="F24" s="19" t="n">
        <v>577.5</v>
      </c>
      <c r="G24" s="6" t="n">
        <v>100</v>
      </c>
      <c r="H24" s="6" t="n">
        <v>2800</v>
      </c>
      <c r="I24" s="7"/>
      <c r="J24" s="6" t="n">
        <v>923.38</v>
      </c>
      <c r="K24" s="6" t="n">
        <v>447.25</v>
      </c>
      <c r="L24" s="7" t="s">
        <v>199</v>
      </c>
    </row>
    <row r="25" customFormat="false" ht="15" hidden="false" customHeight="false" outlineLevel="0" collapsed="false">
      <c r="A25" s="6" t="s">
        <v>43</v>
      </c>
      <c r="B25" s="7" t="s">
        <v>14</v>
      </c>
      <c r="C25" s="6" t="s">
        <v>184</v>
      </c>
      <c r="D25" s="7" t="s">
        <v>200</v>
      </c>
      <c r="E25" s="6" t="s">
        <v>201</v>
      </c>
      <c r="F25" s="6" t="n">
        <v>1255</v>
      </c>
      <c r="G25" s="6" t="n">
        <v>100</v>
      </c>
      <c r="H25" s="6" t="n">
        <v>2800</v>
      </c>
      <c r="I25" s="7"/>
      <c r="J25" s="6" t="n">
        <v>580.75</v>
      </c>
      <c r="K25" s="6" t="n">
        <v>635.5</v>
      </c>
      <c r="L25" s="7" t="s">
        <v>202</v>
      </c>
    </row>
    <row r="26" customFormat="false" ht="15" hidden="false" customHeight="false" outlineLevel="0" collapsed="false">
      <c r="A26" s="6" t="s">
        <v>45</v>
      </c>
      <c r="B26" s="7" t="s">
        <v>46</v>
      </c>
      <c r="C26" s="6" t="s">
        <v>184</v>
      </c>
      <c r="D26" s="7" t="s">
        <v>200</v>
      </c>
      <c r="E26" s="6" t="s">
        <v>203</v>
      </c>
      <c r="F26" s="6" t="n">
        <v>1255</v>
      </c>
      <c r="G26" s="6" t="n">
        <v>100</v>
      </c>
      <c r="H26" s="6" t="n">
        <v>2800</v>
      </c>
      <c r="I26" s="7" t="s">
        <v>194</v>
      </c>
      <c r="J26" s="6" t="n">
        <v>706.25</v>
      </c>
      <c r="K26" s="6" t="n">
        <v>635.5</v>
      </c>
      <c r="L26" s="7" t="s">
        <v>204</v>
      </c>
    </row>
    <row r="27" customFormat="false" ht="15" hidden="false" customHeight="false" outlineLevel="0" collapsed="false">
      <c r="A27" s="6" t="s">
        <v>69</v>
      </c>
      <c r="B27" s="7" t="s">
        <v>70</v>
      </c>
      <c r="C27" s="6" t="s">
        <v>173</v>
      </c>
      <c r="D27" s="7" t="s">
        <v>200</v>
      </c>
      <c r="E27" s="6" t="s">
        <v>203</v>
      </c>
      <c r="F27" s="6" t="n">
        <v>820</v>
      </c>
      <c r="G27" s="6"/>
      <c r="H27" s="6"/>
      <c r="I27" s="7" t="s">
        <v>194</v>
      </c>
      <c r="J27" s="6" t="n">
        <v>706.25</v>
      </c>
      <c r="K27" s="6" t="n">
        <v>635.5</v>
      </c>
      <c r="L27" s="7"/>
    </row>
    <row r="28" customFormat="false" ht="15" hidden="false" customHeight="false" outlineLevel="0" collapsed="false">
      <c r="A28" s="6" t="s">
        <v>49</v>
      </c>
      <c r="B28" s="7" t="s">
        <v>25</v>
      </c>
      <c r="C28" s="6" t="s">
        <v>184</v>
      </c>
      <c r="D28" s="7" t="s">
        <v>200</v>
      </c>
      <c r="E28" s="6" t="s">
        <v>205</v>
      </c>
      <c r="F28" s="19" t="n">
        <v>627.5</v>
      </c>
      <c r="G28" s="6" t="n">
        <v>100</v>
      </c>
      <c r="H28" s="6" t="n">
        <v>2800</v>
      </c>
      <c r="I28" s="7"/>
      <c r="J28" s="6" t="n">
        <v>800.38</v>
      </c>
      <c r="K28" s="6" t="n">
        <v>635.5</v>
      </c>
      <c r="L28" s="7" t="s">
        <v>206</v>
      </c>
    </row>
    <row r="29" customFormat="false" ht="15" hidden="false" customHeight="false" outlineLevel="0" collapsed="false">
      <c r="A29" s="6" t="s">
        <v>45</v>
      </c>
      <c r="B29" s="7" t="s">
        <v>46</v>
      </c>
      <c r="C29" s="6" t="s">
        <v>184</v>
      </c>
      <c r="D29" s="7" t="s">
        <v>200</v>
      </c>
      <c r="E29" s="6" t="s">
        <v>207</v>
      </c>
      <c r="F29" s="6" t="n">
        <v>1255</v>
      </c>
      <c r="G29" s="6" t="n">
        <v>100</v>
      </c>
      <c r="H29" s="6" t="n">
        <v>2800</v>
      </c>
      <c r="I29" s="7" t="s">
        <v>194</v>
      </c>
      <c r="J29" s="6" t="n">
        <v>894.5</v>
      </c>
      <c r="K29" s="6" t="n">
        <v>635.5</v>
      </c>
      <c r="L29" s="7" t="s">
        <v>208</v>
      </c>
    </row>
    <row r="30" customFormat="false" ht="15" hidden="false" customHeight="false" outlineLevel="0" collapsed="false">
      <c r="A30" s="6" t="s">
        <v>69</v>
      </c>
      <c r="B30" s="7" t="s">
        <v>70</v>
      </c>
      <c r="C30" s="6" t="s">
        <v>173</v>
      </c>
      <c r="D30" s="7" t="s">
        <v>200</v>
      </c>
      <c r="E30" s="6" t="s">
        <v>207</v>
      </c>
      <c r="F30" s="6" t="n">
        <v>820</v>
      </c>
      <c r="G30" s="6"/>
      <c r="H30" s="6"/>
      <c r="I30" s="7" t="s">
        <v>194</v>
      </c>
      <c r="J30" s="6" t="n">
        <v>894.5</v>
      </c>
      <c r="K30" s="6" t="n">
        <v>635.5</v>
      </c>
      <c r="L30" s="7"/>
    </row>
    <row r="31" customFormat="false" ht="15" hidden="false" customHeight="false" outlineLevel="0" collapsed="false">
      <c r="A31" s="6" t="s">
        <v>43</v>
      </c>
      <c r="B31" s="7" t="s">
        <v>14</v>
      </c>
      <c r="C31" s="6" t="s">
        <v>184</v>
      </c>
      <c r="D31" s="7" t="s">
        <v>200</v>
      </c>
      <c r="E31" s="6" t="s">
        <v>209</v>
      </c>
      <c r="F31" s="6" t="n">
        <v>1255</v>
      </c>
      <c r="G31" s="6" t="n">
        <v>100</v>
      </c>
      <c r="H31" s="6" t="n">
        <v>2800</v>
      </c>
      <c r="I31" s="7"/>
      <c r="J31" s="6" t="n">
        <v>1020</v>
      </c>
      <c r="K31" s="6" t="n">
        <v>635.5</v>
      </c>
      <c r="L31" s="7" t="s">
        <v>210</v>
      </c>
    </row>
    <row r="32" customFormat="false" ht="15" hidden="false" customHeight="false" outlineLevel="0" collapsed="false">
      <c r="A32" s="6" t="s">
        <v>41</v>
      </c>
      <c r="B32" s="7" t="s">
        <v>25</v>
      </c>
      <c r="C32" s="6" t="s">
        <v>184</v>
      </c>
      <c r="D32" s="7" t="s">
        <v>200</v>
      </c>
      <c r="E32" s="6" t="s">
        <v>211</v>
      </c>
      <c r="F32" s="19" t="n">
        <v>512.5</v>
      </c>
      <c r="G32" s="6" t="n">
        <v>100</v>
      </c>
      <c r="H32" s="6" t="n">
        <v>2800</v>
      </c>
      <c r="I32" s="7"/>
      <c r="J32" s="6" t="n">
        <v>1108.38</v>
      </c>
      <c r="K32" s="6" t="n">
        <v>635.5</v>
      </c>
      <c r="L32" s="7" t="s">
        <v>212</v>
      </c>
    </row>
    <row r="33" customFormat="false" ht="15" hidden="false" customHeight="false" outlineLevel="0" collapsed="false">
      <c r="A33" s="6" t="s">
        <v>13</v>
      </c>
      <c r="B33" s="7" t="s">
        <v>14</v>
      </c>
      <c r="C33" s="6" t="s">
        <v>160</v>
      </c>
      <c r="D33" s="7" t="s">
        <v>213</v>
      </c>
      <c r="E33" s="6" t="s">
        <v>214</v>
      </c>
      <c r="F33" s="6" t="n">
        <v>1255</v>
      </c>
      <c r="G33" s="6" t="n">
        <v>160</v>
      </c>
      <c r="H33" s="6" t="n">
        <v>2800</v>
      </c>
      <c r="I33" s="7"/>
      <c r="J33" s="6" t="n">
        <v>78.75</v>
      </c>
      <c r="K33" s="6" t="n">
        <v>1042</v>
      </c>
      <c r="L33" s="7" t="s">
        <v>215</v>
      </c>
    </row>
    <row r="34" customFormat="false" ht="15" hidden="false" customHeight="false" outlineLevel="0" collapsed="false">
      <c r="A34" s="6" t="s">
        <v>28</v>
      </c>
      <c r="B34" s="7" t="s">
        <v>29</v>
      </c>
      <c r="C34" s="6" t="s">
        <v>160</v>
      </c>
      <c r="D34" s="7" t="s">
        <v>213</v>
      </c>
      <c r="E34" s="6" t="s">
        <v>216</v>
      </c>
      <c r="F34" s="6" t="n">
        <v>1255</v>
      </c>
      <c r="G34" s="6" t="n">
        <v>160</v>
      </c>
      <c r="H34" s="6" t="n">
        <v>2800</v>
      </c>
      <c r="I34" s="7" t="s">
        <v>217</v>
      </c>
      <c r="J34" s="6" t="n">
        <v>204.25</v>
      </c>
      <c r="K34" s="6" t="n">
        <v>1042</v>
      </c>
      <c r="L34" s="7" t="s">
        <v>218</v>
      </c>
    </row>
    <row r="35" customFormat="false" ht="15" hidden="false" customHeight="false" outlineLevel="0" collapsed="false">
      <c r="A35" s="6" t="s">
        <v>57</v>
      </c>
      <c r="B35" s="7" t="s">
        <v>58</v>
      </c>
      <c r="C35" s="6" t="s">
        <v>167</v>
      </c>
      <c r="D35" s="7" t="s">
        <v>213</v>
      </c>
      <c r="E35" s="6" t="s">
        <v>216</v>
      </c>
      <c r="F35" s="6" t="n">
        <v>1200</v>
      </c>
      <c r="G35" s="6"/>
      <c r="H35" s="6" t="n">
        <v>1200</v>
      </c>
      <c r="I35" s="7" t="s">
        <v>217</v>
      </c>
      <c r="J35" s="6" t="n">
        <v>204.25</v>
      </c>
      <c r="K35" s="6" t="n">
        <v>1042</v>
      </c>
      <c r="L35" s="7"/>
    </row>
    <row r="36" customFormat="false" ht="15" hidden="false" customHeight="false" outlineLevel="0" collapsed="false">
      <c r="A36" s="6" t="s">
        <v>13</v>
      </c>
      <c r="B36" s="7" t="s">
        <v>14</v>
      </c>
      <c r="C36" s="6" t="s">
        <v>160</v>
      </c>
      <c r="D36" s="7" t="s">
        <v>213</v>
      </c>
      <c r="E36" s="6" t="s">
        <v>219</v>
      </c>
      <c r="F36" s="6" t="n">
        <v>1255</v>
      </c>
      <c r="G36" s="6" t="n">
        <v>160</v>
      </c>
      <c r="H36" s="6" t="n">
        <v>2800</v>
      </c>
      <c r="I36" s="7"/>
      <c r="J36" s="6" t="n">
        <v>329.75</v>
      </c>
      <c r="K36" s="6" t="n">
        <v>1042</v>
      </c>
      <c r="L36" s="7" t="s">
        <v>220</v>
      </c>
    </row>
    <row r="37" customFormat="false" ht="15" hidden="false" customHeight="false" outlineLevel="0" collapsed="false">
      <c r="A37" s="6" t="s">
        <v>13</v>
      </c>
      <c r="B37" s="7" t="s">
        <v>14</v>
      </c>
      <c r="C37" s="6" t="s">
        <v>160</v>
      </c>
      <c r="D37" s="7" t="s">
        <v>213</v>
      </c>
      <c r="E37" s="6" t="s">
        <v>221</v>
      </c>
      <c r="F37" s="6" t="n">
        <v>1255</v>
      </c>
      <c r="G37" s="6" t="n">
        <v>160</v>
      </c>
      <c r="H37" s="6" t="n">
        <v>2800</v>
      </c>
      <c r="I37" s="7"/>
      <c r="J37" s="6" t="n">
        <v>455.25</v>
      </c>
      <c r="K37" s="6" t="n">
        <v>1042</v>
      </c>
      <c r="L37" s="7" t="s">
        <v>222</v>
      </c>
    </row>
    <row r="38" customFormat="false" ht="15" hidden="false" customHeight="false" outlineLevel="0" collapsed="false">
      <c r="A38" s="6" t="s">
        <v>13</v>
      </c>
      <c r="B38" s="7" t="s">
        <v>14</v>
      </c>
      <c r="C38" s="6" t="s">
        <v>160</v>
      </c>
      <c r="D38" s="7" t="s">
        <v>213</v>
      </c>
      <c r="E38" s="6" t="s">
        <v>223</v>
      </c>
      <c r="F38" s="6" t="n">
        <v>1255</v>
      </c>
      <c r="G38" s="6" t="n">
        <v>160</v>
      </c>
      <c r="H38" s="6" t="n">
        <v>2800</v>
      </c>
      <c r="I38" s="7"/>
      <c r="J38" s="6" t="n">
        <v>580.75</v>
      </c>
      <c r="K38" s="6" t="n">
        <v>1042</v>
      </c>
      <c r="L38" s="7" t="s">
        <v>224</v>
      </c>
    </row>
    <row r="39" customFormat="false" ht="15" hidden="false" customHeight="false" outlineLevel="0" collapsed="false">
      <c r="A39" s="6" t="s">
        <v>28</v>
      </c>
      <c r="B39" s="7" t="s">
        <v>29</v>
      </c>
      <c r="C39" s="6" t="s">
        <v>160</v>
      </c>
      <c r="D39" s="7" t="s">
        <v>213</v>
      </c>
      <c r="E39" s="6" t="s">
        <v>225</v>
      </c>
      <c r="F39" s="6" t="n">
        <v>1255</v>
      </c>
      <c r="G39" s="6" t="n">
        <v>160</v>
      </c>
      <c r="H39" s="6" t="n">
        <v>2800</v>
      </c>
      <c r="I39" s="7" t="s">
        <v>217</v>
      </c>
      <c r="J39" s="6" t="n">
        <v>706.25</v>
      </c>
      <c r="K39" s="6" t="n">
        <v>1042</v>
      </c>
      <c r="L39" s="7" t="s">
        <v>226</v>
      </c>
    </row>
    <row r="40" customFormat="false" ht="15" hidden="false" customHeight="false" outlineLevel="0" collapsed="false">
      <c r="A40" s="6" t="s">
        <v>57</v>
      </c>
      <c r="B40" s="7" t="s">
        <v>58</v>
      </c>
      <c r="C40" s="6" t="s">
        <v>167</v>
      </c>
      <c r="D40" s="7" t="s">
        <v>213</v>
      </c>
      <c r="E40" s="6" t="s">
        <v>225</v>
      </c>
      <c r="F40" s="6" t="n">
        <v>1200</v>
      </c>
      <c r="G40" s="6"/>
      <c r="H40" s="6" t="n">
        <v>1200</v>
      </c>
      <c r="I40" s="7" t="s">
        <v>217</v>
      </c>
      <c r="J40" s="6" t="n">
        <v>706.25</v>
      </c>
      <c r="K40" s="6" t="n">
        <v>1042</v>
      </c>
      <c r="L40" s="7"/>
    </row>
    <row r="41" customFormat="false" ht="15" hidden="false" customHeight="false" outlineLevel="0" collapsed="false">
      <c r="A41" s="6" t="s">
        <v>13</v>
      </c>
      <c r="B41" s="7" t="s">
        <v>14</v>
      </c>
      <c r="C41" s="6" t="s">
        <v>160</v>
      </c>
      <c r="D41" s="7" t="s">
        <v>213</v>
      </c>
      <c r="E41" s="6" t="s">
        <v>227</v>
      </c>
      <c r="F41" s="6" t="n">
        <v>1255</v>
      </c>
      <c r="G41" s="6" t="n">
        <v>160</v>
      </c>
      <c r="H41" s="6" t="n">
        <v>2800</v>
      </c>
      <c r="I41" s="7"/>
      <c r="J41" s="6" t="n">
        <v>831.75</v>
      </c>
      <c r="K41" s="6" t="n">
        <v>1042</v>
      </c>
      <c r="L41" s="7" t="s">
        <v>228</v>
      </c>
    </row>
    <row r="42" customFormat="false" ht="15" hidden="false" customHeight="false" outlineLevel="0" collapsed="false">
      <c r="A42" s="6" t="s">
        <v>28</v>
      </c>
      <c r="B42" s="7" t="s">
        <v>29</v>
      </c>
      <c r="C42" s="6" t="s">
        <v>160</v>
      </c>
      <c r="D42" s="7" t="s">
        <v>213</v>
      </c>
      <c r="E42" s="6" t="s">
        <v>229</v>
      </c>
      <c r="F42" s="6" t="n">
        <v>1255</v>
      </c>
      <c r="G42" s="6" t="n">
        <v>160</v>
      </c>
      <c r="H42" s="6" t="n">
        <v>2800</v>
      </c>
      <c r="I42" s="7" t="s">
        <v>217</v>
      </c>
      <c r="J42" s="6" t="n">
        <v>957.25</v>
      </c>
      <c r="K42" s="6" t="n">
        <v>1042</v>
      </c>
      <c r="L42" s="7" t="s">
        <v>230</v>
      </c>
    </row>
    <row r="43" customFormat="false" ht="15" hidden="false" customHeight="false" outlineLevel="0" collapsed="false">
      <c r="A43" s="6" t="s">
        <v>57</v>
      </c>
      <c r="B43" s="7" t="s">
        <v>58</v>
      </c>
      <c r="C43" s="6" t="s">
        <v>167</v>
      </c>
      <c r="D43" s="7" t="s">
        <v>213</v>
      </c>
      <c r="E43" s="6" t="s">
        <v>229</v>
      </c>
      <c r="F43" s="6" t="n">
        <v>1200</v>
      </c>
      <c r="G43" s="6"/>
      <c r="H43" s="6" t="n">
        <v>1200</v>
      </c>
      <c r="I43" s="7" t="s">
        <v>217</v>
      </c>
      <c r="J43" s="6" t="n">
        <v>957.25</v>
      </c>
      <c r="K43" s="6" t="n">
        <v>1042</v>
      </c>
      <c r="L43" s="7"/>
    </row>
    <row r="44" customFormat="false" ht="15" hidden="false" customHeight="false" outlineLevel="0" collapsed="false">
      <c r="A44" s="6" t="s">
        <v>24</v>
      </c>
      <c r="B44" s="7" t="s">
        <v>25</v>
      </c>
      <c r="C44" s="6" t="s">
        <v>160</v>
      </c>
      <c r="D44" s="7" t="s">
        <v>213</v>
      </c>
      <c r="E44" s="6" t="s">
        <v>231</v>
      </c>
      <c r="F44" s="6" t="n">
        <v>1140</v>
      </c>
      <c r="G44" s="6" t="n">
        <v>160</v>
      </c>
      <c r="H44" s="6" t="n">
        <v>2800</v>
      </c>
      <c r="I44" s="7"/>
      <c r="J44" s="6" t="n">
        <v>1077</v>
      </c>
      <c r="K44" s="6" t="n">
        <v>1042</v>
      </c>
      <c r="L44" s="7" t="s">
        <v>232</v>
      </c>
    </row>
    <row r="45" customFormat="false" ht="15" hidden="false" customHeight="false" outlineLevel="0" collapsed="false">
      <c r="A45" s="6" t="s">
        <v>13</v>
      </c>
      <c r="B45" s="7" t="s">
        <v>14</v>
      </c>
      <c r="C45" s="6" t="s">
        <v>160</v>
      </c>
      <c r="D45" s="7" t="s">
        <v>233</v>
      </c>
      <c r="E45" s="6" t="s">
        <v>234</v>
      </c>
      <c r="F45" s="6" t="n">
        <v>1255</v>
      </c>
      <c r="G45" s="6" t="n">
        <v>160</v>
      </c>
      <c r="H45" s="6" t="n">
        <v>2800</v>
      </c>
      <c r="I45" s="7"/>
      <c r="J45" s="6" t="n">
        <v>8</v>
      </c>
      <c r="K45" s="6" t="n">
        <v>70.75</v>
      </c>
      <c r="L45" s="7" t="s">
        <v>235</v>
      </c>
    </row>
    <row r="46" customFormat="false" ht="15" hidden="false" customHeight="false" outlineLevel="0" collapsed="false">
      <c r="A46" s="6" t="s">
        <v>13</v>
      </c>
      <c r="B46" s="7" t="s">
        <v>14</v>
      </c>
      <c r="C46" s="6" t="s">
        <v>160</v>
      </c>
      <c r="D46" s="7" t="s">
        <v>233</v>
      </c>
      <c r="E46" s="6" t="s">
        <v>236</v>
      </c>
      <c r="F46" s="6" t="n">
        <v>1255</v>
      </c>
      <c r="G46" s="6" t="n">
        <v>160</v>
      </c>
      <c r="H46" s="6" t="n">
        <v>2800</v>
      </c>
      <c r="I46" s="7"/>
      <c r="J46" s="6" t="n">
        <v>8</v>
      </c>
      <c r="K46" s="6" t="n">
        <v>196.25</v>
      </c>
      <c r="L46" s="7" t="s">
        <v>237</v>
      </c>
    </row>
    <row r="47" customFormat="false" ht="15" hidden="false" customHeight="false" outlineLevel="0" collapsed="false">
      <c r="A47" s="6" t="s">
        <v>13</v>
      </c>
      <c r="B47" s="7" t="s">
        <v>14</v>
      </c>
      <c r="C47" s="6" t="s">
        <v>160</v>
      </c>
      <c r="D47" s="7" t="s">
        <v>233</v>
      </c>
      <c r="E47" s="6" t="s">
        <v>238</v>
      </c>
      <c r="F47" s="6" t="n">
        <v>1255</v>
      </c>
      <c r="G47" s="6" t="n">
        <v>160</v>
      </c>
      <c r="H47" s="6" t="n">
        <v>2800</v>
      </c>
      <c r="I47" s="7"/>
      <c r="J47" s="6" t="n">
        <v>8</v>
      </c>
      <c r="K47" s="6" t="n">
        <v>321.75</v>
      </c>
      <c r="L47" s="7" t="s">
        <v>239</v>
      </c>
    </row>
    <row r="48" customFormat="false" ht="15" hidden="false" customHeight="false" outlineLevel="0" collapsed="false">
      <c r="A48" s="6" t="s">
        <v>13</v>
      </c>
      <c r="B48" s="7" t="s">
        <v>14</v>
      </c>
      <c r="C48" s="6" t="s">
        <v>160</v>
      </c>
      <c r="D48" s="7" t="s">
        <v>233</v>
      </c>
      <c r="E48" s="6" t="s">
        <v>240</v>
      </c>
      <c r="F48" s="6" t="n">
        <v>1255</v>
      </c>
      <c r="G48" s="6" t="n">
        <v>160</v>
      </c>
      <c r="H48" s="6" t="n">
        <v>2800</v>
      </c>
      <c r="I48" s="7"/>
      <c r="J48" s="6" t="n">
        <v>8</v>
      </c>
      <c r="K48" s="6" t="n">
        <v>447.25</v>
      </c>
      <c r="L48" s="7" t="s">
        <v>241</v>
      </c>
    </row>
    <row r="49" customFormat="false" ht="15" hidden="false" customHeight="false" outlineLevel="0" collapsed="false">
      <c r="A49" s="6" t="s">
        <v>13</v>
      </c>
      <c r="B49" s="7" t="s">
        <v>14</v>
      </c>
      <c r="C49" s="6" t="s">
        <v>160</v>
      </c>
      <c r="D49" s="7" t="s">
        <v>233</v>
      </c>
      <c r="E49" s="6" t="s">
        <v>242</v>
      </c>
      <c r="F49" s="6" t="n">
        <v>1255</v>
      </c>
      <c r="G49" s="6" t="n">
        <v>160</v>
      </c>
      <c r="H49" s="6" t="n">
        <v>2800</v>
      </c>
      <c r="I49" s="7"/>
      <c r="J49" s="6" t="n">
        <v>8</v>
      </c>
      <c r="K49" s="6" t="n">
        <v>572.75</v>
      </c>
      <c r="L49" s="7" t="s">
        <v>243</v>
      </c>
    </row>
    <row r="50" customFormat="false" ht="15" hidden="false" customHeight="false" outlineLevel="0" collapsed="false">
      <c r="A50" s="6" t="s">
        <v>13</v>
      </c>
      <c r="B50" s="7" t="s">
        <v>14</v>
      </c>
      <c r="C50" s="6" t="s">
        <v>160</v>
      </c>
      <c r="D50" s="7" t="s">
        <v>233</v>
      </c>
      <c r="E50" s="6" t="s">
        <v>244</v>
      </c>
      <c r="F50" s="6" t="n">
        <v>1255</v>
      </c>
      <c r="G50" s="6" t="n">
        <v>160</v>
      </c>
      <c r="H50" s="6" t="n">
        <v>2800</v>
      </c>
      <c r="I50" s="7"/>
      <c r="J50" s="6" t="n">
        <v>8</v>
      </c>
      <c r="K50" s="6" t="n">
        <v>698.25</v>
      </c>
      <c r="L50" s="7" t="s">
        <v>245</v>
      </c>
    </row>
    <row r="51" customFormat="false" ht="15" hidden="false" customHeight="false" outlineLevel="0" collapsed="false">
      <c r="A51" s="6" t="s">
        <v>13</v>
      </c>
      <c r="B51" s="7" t="s">
        <v>14</v>
      </c>
      <c r="C51" s="6" t="s">
        <v>160</v>
      </c>
      <c r="D51" s="7" t="s">
        <v>233</v>
      </c>
      <c r="E51" s="6" t="s">
        <v>246</v>
      </c>
      <c r="F51" s="6" t="n">
        <v>1255</v>
      </c>
      <c r="G51" s="6" t="n">
        <v>160</v>
      </c>
      <c r="H51" s="6" t="n">
        <v>2800</v>
      </c>
      <c r="I51" s="7"/>
      <c r="J51" s="6" t="n">
        <v>8</v>
      </c>
      <c r="K51" s="6" t="n">
        <v>823.75</v>
      </c>
      <c r="L51" s="7" t="s">
        <v>247</v>
      </c>
    </row>
    <row r="52" customFormat="false" ht="15" hidden="false" customHeight="false" outlineLevel="0" collapsed="false">
      <c r="A52" s="6" t="s">
        <v>13</v>
      </c>
      <c r="B52" s="7" t="s">
        <v>14</v>
      </c>
      <c r="C52" s="6" t="s">
        <v>160</v>
      </c>
      <c r="D52" s="7" t="s">
        <v>233</v>
      </c>
      <c r="E52" s="6" t="s">
        <v>248</v>
      </c>
      <c r="F52" s="6" t="n">
        <v>1255</v>
      </c>
      <c r="G52" s="6" t="n">
        <v>160</v>
      </c>
      <c r="H52" s="6" t="n">
        <v>2800</v>
      </c>
      <c r="I52" s="7"/>
      <c r="J52" s="6" t="n">
        <v>8</v>
      </c>
      <c r="K52" s="6" t="n">
        <v>949.25</v>
      </c>
      <c r="L52" s="7" t="s">
        <v>249</v>
      </c>
    </row>
    <row r="53" customFormat="false" ht="15" hidden="false" customHeight="false" outlineLevel="0" collapsed="false">
      <c r="A53" s="6" t="s">
        <v>31</v>
      </c>
      <c r="B53" s="7" t="s">
        <v>25</v>
      </c>
      <c r="C53" s="6" t="s">
        <v>160</v>
      </c>
      <c r="D53" s="7" t="s">
        <v>233</v>
      </c>
      <c r="E53" s="6" t="s">
        <v>250</v>
      </c>
      <c r="F53" s="6" t="n">
        <v>300</v>
      </c>
      <c r="G53" s="6" t="n">
        <v>160</v>
      </c>
      <c r="H53" s="6" t="n">
        <v>2800</v>
      </c>
      <c r="I53" s="7"/>
      <c r="J53" s="6" t="n">
        <v>8</v>
      </c>
      <c r="K53" s="6" t="n">
        <v>1027</v>
      </c>
      <c r="L53" s="7" t="s">
        <v>251</v>
      </c>
    </row>
    <row r="54" customFormat="false" ht="15" hidden="false" customHeight="false" outlineLevel="0" collapsed="false">
      <c r="A54" s="6" t="s">
        <v>51</v>
      </c>
      <c r="B54" s="7" t="s">
        <v>25</v>
      </c>
      <c r="C54" s="6" t="s">
        <v>184</v>
      </c>
      <c r="D54" s="7" t="s">
        <v>252</v>
      </c>
      <c r="E54" s="6" t="s">
        <v>253</v>
      </c>
      <c r="F54" s="6" t="n">
        <v>1175</v>
      </c>
      <c r="G54" s="6" t="n">
        <v>100</v>
      </c>
      <c r="H54" s="6" t="n">
        <v>2800</v>
      </c>
      <c r="I54" s="7"/>
      <c r="J54" s="6" t="n">
        <v>518</v>
      </c>
      <c r="K54" s="6" t="n">
        <v>74.75</v>
      </c>
      <c r="L54" s="7" t="s">
        <v>254</v>
      </c>
    </row>
    <row r="55" customFormat="false" ht="15" hidden="false" customHeight="false" outlineLevel="0" collapsed="false">
      <c r="A55" s="6" t="s">
        <v>43</v>
      </c>
      <c r="B55" s="7" t="s">
        <v>14</v>
      </c>
      <c r="C55" s="6" t="s">
        <v>184</v>
      </c>
      <c r="D55" s="7" t="s">
        <v>252</v>
      </c>
      <c r="E55" s="6" t="s">
        <v>255</v>
      </c>
      <c r="F55" s="6" t="n">
        <v>1255</v>
      </c>
      <c r="G55" s="6" t="n">
        <v>100</v>
      </c>
      <c r="H55" s="6" t="n">
        <v>2800</v>
      </c>
      <c r="I55" s="7"/>
      <c r="J55" s="6" t="n">
        <v>518</v>
      </c>
      <c r="K55" s="6" t="n">
        <v>196.25</v>
      </c>
      <c r="L55" s="7" t="s">
        <v>256</v>
      </c>
    </row>
    <row r="56" customFormat="false" ht="15" hidden="false" customHeight="false" outlineLevel="0" collapsed="false">
      <c r="A56" s="6" t="s">
        <v>43</v>
      </c>
      <c r="B56" s="7" t="s">
        <v>14</v>
      </c>
      <c r="C56" s="6" t="s">
        <v>184</v>
      </c>
      <c r="D56" s="7" t="s">
        <v>252</v>
      </c>
      <c r="E56" s="6" t="s">
        <v>257</v>
      </c>
      <c r="F56" s="6" t="n">
        <v>1255</v>
      </c>
      <c r="G56" s="6" t="n">
        <v>100</v>
      </c>
      <c r="H56" s="6" t="n">
        <v>2800</v>
      </c>
      <c r="I56" s="7"/>
      <c r="J56" s="6" t="n">
        <v>518</v>
      </c>
      <c r="K56" s="6" t="n">
        <v>321.75</v>
      </c>
      <c r="L56" s="7" t="s">
        <v>258</v>
      </c>
    </row>
    <row r="57" customFormat="false" ht="15" hidden="false" customHeight="false" outlineLevel="0" collapsed="false">
      <c r="A57" s="6" t="s">
        <v>47</v>
      </c>
      <c r="B57" s="7" t="s">
        <v>25</v>
      </c>
      <c r="C57" s="6" t="s">
        <v>184</v>
      </c>
      <c r="D57" s="7" t="s">
        <v>252</v>
      </c>
      <c r="E57" s="6" t="s">
        <v>259</v>
      </c>
      <c r="F57" s="19" t="n">
        <v>577.5</v>
      </c>
      <c r="G57" s="6" t="n">
        <v>100</v>
      </c>
      <c r="H57" s="6" t="n">
        <v>2800</v>
      </c>
      <c r="I57" s="7"/>
      <c r="J57" s="6" t="n">
        <v>518</v>
      </c>
      <c r="K57" s="6" t="n">
        <v>413.38</v>
      </c>
      <c r="L57" s="7" t="s">
        <v>260</v>
      </c>
    </row>
    <row r="58" customFormat="false" ht="15" hidden="false" customHeight="false" outlineLevel="0" collapsed="false">
      <c r="A58" s="6" t="s">
        <v>38</v>
      </c>
      <c r="B58" s="7" t="s">
        <v>25</v>
      </c>
      <c r="C58" s="6" t="s">
        <v>184</v>
      </c>
      <c r="D58" s="7" t="s">
        <v>261</v>
      </c>
      <c r="E58" s="6" t="s">
        <v>262</v>
      </c>
      <c r="F58" s="6" t="n">
        <v>1205</v>
      </c>
      <c r="G58" s="6" t="n">
        <v>100</v>
      </c>
      <c r="H58" s="6" t="n">
        <v>2800</v>
      </c>
      <c r="I58" s="7"/>
      <c r="J58" s="6" t="n">
        <v>518</v>
      </c>
      <c r="K58" s="6" t="n">
        <v>700.75</v>
      </c>
      <c r="L58" s="7" t="s">
        <v>263</v>
      </c>
    </row>
    <row r="59" customFormat="false" ht="15" hidden="false" customHeight="false" outlineLevel="0" collapsed="false">
      <c r="A59" s="6" t="s">
        <v>43</v>
      </c>
      <c r="B59" s="7" t="s">
        <v>14</v>
      </c>
      <c r="C59" s="6" t="s">
        <v>184</v>
      </c>
      <c r="D59" s="7" t="s">
        <v>261</v>
      </c>
      <c r="E59" s="6" t="s">
        <v>264</v>
      </c>
      <c r="F59" s="6" t="n">
        <v>1255</v>
      </c>
      <c r="G59" s="6" t="n">
        <v>100</v>
      </c>
      <c r="H59" s="6" t="n">
        <v>2800</v>
      </c>
      <c r="I59" s="7"/>
      <c r="J59" s="6" t="n">
        <v>518</v>
      </c>
      <c r="K59" s="6" t="n">
        <v>823.75</v>
      </c>
      <c r="L59" s="7" t="s">
        <v>265</v>
      </c>
    </row>
    <row r="60" customFormat="false" ht="15" hidden="false" customHeight="false" outlineLevel="0" collapsed="false">
      <c r="A60" s="6" t="s">
        <v>43</v>
      </c>
      <c r="B60" s="7" t="s">
        <v>14</v>
      </c>
      <c r="C60" s="6" t="s">
        <v>184</v>
      </c>
      <c r="D60" s="7" t="s">
        <v>261</v>
      </c>
      <c r="E60" s="6" t="s">
        <v>266</v>
      </c>
      <c r="F60" s="6" t="n">
        <v>1255</v>
      </c>
      <c r="G60" s="6" t="n">
        <v>100</v>
      </c>
      <c r="H60" s="6" t="n">
        <v>2800</v>
      </c>
      <c r="I60" s="7"/>
      <c r="J60" s="6" t="n">
        <v>518</v>
      </c>
      <c r="K60" s="6" t="n">
        <v>949.25</v>
      </c>
      <c r="L60" s="7" t="s">
        <v>267</v>
      </c>
    </row>
    <row r="61" customFormat="false" ht="15" hidden="false" customHeight="false" outlineLevel="0" collapsed="false">
      <c r="A61" s="6" t="s">
        <v>53</v>
      </c>
      <c r="B61" s="7" t="s">
        <v>25</v>
      </c>
      <c r="C61" s="6" t="s">
        <v>184</v>
      </c>
      <c r="D61" s="7" t="s">
        <v>261</v>
      </c>
      <c r="E61" s="6" t="s">
        <v>268</v>
      </c>
      <c r="F61" s="6" t="n">
        <v>220</v>
      </c>
      <c r="G61" s="6" t="n">
        <v>100</v>
      </c>
      <c r="H61" s="6" t="n">
        <v>2800</v>
      </c>
      <c r="I61" s="7"/>
      <c r="J61" s="6" t="n">
        <v>518</v>
      </c>
      <c r="K61" s="6" t="n">
        <v>1023</v>
      </c>
      <c r="L61" s="7" t="s">
        <v>269</v>
      </c>
    </row>
    <row r="62" customFormat="false" ht="15" hidden="false" customHeight="false" outlineLevel="0" collapsed="false">
      <c r="A62" s="6" t="s">
        <v>38</v>
      </c>
      <c r="B62" s="7" t="s">
        <v>25</v>
      </c>
      <c r="C62" s="6" t="s">
        <v>184</v>
      </c>
      <c r="D62" s="7" t="s">
        <v>270</v>
      </c>
      <c r="E62" s="6" t="s">
        <v>271</v>
      </c>
      <c r="F62" s="6" t="n">
        <v>1205</v>
      </c>
      <c r="G62" s="6" t="n">
        <v>100</v>
      </c>
      <c r="H62" s="6" t="n">
        <v>2800</v>
      </c>
      <c r="I62" s="7"/>
      <c r="J62" s="6" t="n">
        <v>831.75</v>
      </c>
      <c r="K62" s="6" t="n">
        <v>700.75</v>
      </c>
      <c r="L62" s="7" t="s">
        <v>272</v>
      </c>
    </row>
    <row r="63" customFormat="false" ht="15" hidden="false" customHeight="false" outlineLevel="0" collapsed="false">
      <c r="A63" s="6" t="s">
        <v>43</v>
      </c>
      <c r="B63" s="7" t="s">
        <v>14</v>
      </c>
      <c r="C63" s="6" t="s">
        <v>184</v>
      </c>
      <c r="D63" s="7" t="s">
        <v>270</v>
      </c>
      <c r="E63" s="6" t="s">
        <v>273</v>
      </c>
      <c r="F63" s="6" t="n">
        <v>1255</v>
      </c>
      <c r="G63" s="6" t="n">
        <v>100</v>
      </c>
      <c r="H63" s="6" t="n">
        <v>2800</v>
      </c>
      <c r="I63" s="7"/>
      <c r="J63" s="6" t="n">
        <v>831.75</v>
      </c>
      <c r="K63" s="6" t="n">
        <v>823.75</v>
      </c>
      <c r="L63" s="7" t="s">
        <v>274</v>
      </c>
    </row>
    <row r="64" customFormat="false" ht="15" hidden="false" customHeight="false" outlineLevel="0" collapsed="false">
      <c r="A64" s="6" t="s">
        <v>43</v>
      </c>
      <c r="B64" s="7" t="s">
        <v>14</v>
      </c>
      <c r="C64" s="6" t="s">
        <v>184</v>
      </c>
      <c r="D64" s="7" t="s">
        <v>270</v>
      </c>
      <c r="E64" s="6" t="s">
        <v>275</v>
      </c>
      <c r="F64" s="6" t="n">
        <v>1255</v>
      </c>
      <c r="G64" s="6" t="n">
        <v>100</v>
      </c>
      <c r="H64" s="6" t="n">
        <v>2800</v>
      </c>
      <c r="I64" s="7"/>
      <c r="J64" s="6" t="n">
        <v>831.75</v>
      </c>
      <c r="K64" s="6" t="n">
        <v>949.25</v>
      </c>
      <c r="L64" s="7" t="s">
        <v>276</v>
      </c>
    </row>
    <row r="65" customFormat="false" ht="15" hidden="false" customHeight="false" outlineLevel="0" collapsed="false">
      <c r="A65" s="6" t="s">
        <v>53</v>
      </c>
      <c r="B65" s="7" t="s">
        <v>25</v>
      </c>
      <c r="C65" s="6" t="s">
        <v>184</v>
      </c>
      <c r="D65" s="7" t="s">
        <v>270</v>
      </c>
      <c r="E65" s="6" t="s">
        <v>277</v>
      </c>
      <c r="F65" s="6" t="n">
        <v>220</v>
      </c>
      <c r="G65" s="6" t="n">
        <v>100</v>
      </c>
      <c r="H65" s="6" t="n">
        <v>2800</v>
      </c>
      <c r="I65" s="7"/>
      <c r="J65" s="6" t="n">
        <v>831.75</v>
      </c>
      <c r="K65" s="6" t="n">
        <v>1023</v>
      </c>
      <c r="L65" s="7" t="s">
        <v>278</v>
      </c>
    </row>
    <row r="66" customFormat="false" ht="15" hidden="false" customHeight="false" outlineLevel="0" collapsed="false">
      <c r="A66" s="6" t="s">
        <v>51</v>
      </c>
      <c r="B66" s="7" t="s">
        <v>25</v>
      </c>
      <c r="C66" s="6" t="s">
        <v>184</v>
      </c>
      <c r="D66" s="7" t="s">
        <v>279</v>
      </c>
      <c r="E66" s="6" t="s">
        <v>280</v>
      </c>
      <c r="F66" s="6" t="n">
        <v>1175</v>
      </c>
      <c r="G66" s="6" t="n">
        <v>100</v>
      </c>
      <c r="H66" s="6" t="n">
        <v>2800</v>
      </c>
      <c r="I66" s="7"/>
      <c r="J66" s="6" t="n">
        <v>957.25</v>
      </c>
      <c r="K66" s="6" t="n">
        <v>74.75</v>
      </c>
      <c r="L66" s="7" t="s">
        <v>281</v>
      </c>
    </row>
    <row r="67" customFormat="false" ht="15" hidden="false" customHeight="false" outlineLevel="0" collapsed="false">
      <c r="A67" s="6" t="s">
        <v>45</v>
      </c>
      <c r="B67" s="7" t="s">
        <v>46</v>
      </c>
      <c r="C67" s="6" t="s">
        <v>184</v>
      </c>
      <c r="D67" s="7" t="s">
        <v>279</v>
      </c>
      <c r="E67" s="6" t="s">
        <v>282</v>
      </c>
      <c r="F67" s="6" t="n">
        <v>1255</v>
      </c>
      <c r="G67" s="6" t="n">
        <v>100</v>
      </c>
      <c r="H67" s="6" t="n">
        <v>2800</v>
      </c>
      <c r="I67" s="7" t="s">
        <v>194</v>
      </c>
      <c r="J67" s="6" t="n">
        <v>957.25</v>
      </c>
      <c r="K67" s="6" t="n">
        <v>196.25</v>
      </c>
      <c r="L67" s="7" t="s">
        <v>283</v>
      </c>
    </row>
    <row r="68" customFormat="false" ht="15" hidden="false" customHeight="false" outlineLevel="0" collapsed="false">
      <c r="A68" s="6" t="s">
        <v>69</v>
      </c>
      <c r="B68" s="7" t="s">
        <v>70</v>
      </c>
      <c r="C68" s="6" t="s">
        <v>173</v>
      </c>
      <c r="D68" s="7" t="s">
        <v>279</v>
      </c>
      <c r="E68" s="6" t="s">
        <v>282</v>
      </c>
      <c r="F68" s="6" t="n">
        <v>820</v>
      </c>
      <c r="G68" s="6"/>
      <c r="H68" s="6"/>
      <c r="I68" s="7" t="s">
        <v>194</v>
      </c>
      <c r="J68" s="6" t="n">
        <v>957.25</v>
      </c>
      <c r="K68" s="6" t="n">
        <v>196.25</v>
      </c>
      <c r="L68" s="7"/>
    </row>
    <row r="69" customFormat="false" ht="15" hidden="false" customHeight="false" outlineLevel="0" collapsed="false">
      <c r="A69" s="6" t="s">
        <v>49</v>
      </c>
      <c r="B69" s="7" t="s">
        <v>25</v>
      </c>
      <c r="C69" s="6" t="s">
        <v>184</v>
      </c>
      <c r="D69" s="7" t="s">
        <v>279</v>
      </c>
      <c r="E69" s="6" t="s">
        <v>284</v>
      </c>
      <c r="F69" s="19" t="n">
        <v>627.5</v>
      </c>
      <c r="G69" s="6" t="n">
        <v>100</v>
      </c>
      <c r="H69" s="6" t="n">
        <v>2800</v>
      </c>
      <c r="I69" s="7"/>
      <c r="J69" s="6" t="n">
        <v>957.25</v>
      </c>
      <c r="K69" s="6" t="n">
        <v>290.38</v>
      </c>
      <c r="L69" s="7" t="s">
        <v>285</v>
      </c>
    </row>
    <row r="70" customFormat="false" ht="15" hidden="false" customHeight="false" outlineLevel="0" collapsed="false">
      <c r="A70" s="6" t="s">
        <v>43</v>
      </c>
      <c r="B70" s="7" t="s">
        <v>14</v>
      </c>
      <c r="C70" s="6" t="s">
        <v>184</v>
      </c>
      <c r="D70" s="7" t="s">
        <v>279</v>
      </c>
      <c r="E70" s="6" t="s">
        <v>286</v>
      </c>
      <c r="F70" s="6" t="n">
        <v>1255</v>
      </c>
      <c r="G70" s="6" t="n">
        <v>100</v>
      </c>
      <c r="H70" s="6" t="n">
        <v>2800</v>
      </c>
      <c r="I70" s="7"/>
      <c r="J70" s="6" t="n">
        <v>957.25</v>
      </c>
      <c r="K70" s="6" t="n">
        <v>384.5</v>
      </c>
      <c r="L70" s="7" t="s">
        <v>287</v>
      </c>
    </row>
    <row r="71" customFormat="false" ht="15" hidden="false" customHeight="false" outlineLevel="0" collapsed="false">
      <c r="A71" s="6" t="s">
        <v>45</v>
      </c>
      <c r="B71" s="7" t="s">
        <v>46</v>
      </c>
      <c r="C71" s="6" t="s">
        <v>184</v>
      </c>
      <c r="D71" s="7" t="s">
        <v>279</v>
      </c>
      <c r="E71" s="6" t="s">
        <v>288</v>
      </c>
      <c r="F71" s="6" t="n">
        <v>1255</v>
      </c>
      <c r="G71" s="6" t="n">
        <v>100</v>
      </c>
      <c r="H71" s="6" t="n">
        <v>2800</v>
      </c>
      <c r="I71" s="7" t="s">
        <v>194</v>
      </c>
      <c r="J71" s="6" t="n">
        <v>957.25</v>
      </c>
      <c r="K71" s="6" t="n">
        <v>510</v>
      </c>
      <c r="L71" s="7" t="s">
        <v>289</v>
      </c>
    </row>
    <row r="72" customFormat="false" ht="15" hidden="false" customHeight="false" outlineLevel="0" collapsed="false">
      <c r="A72" s="6" t="s">
        <v>69</v>
      </c>
      <c r="B72" s="7" t="s">
        <v>70</v>
      </c>
      <c r="C72" s="6" t="s">
        <v>173</v>
      </c>
      <c r="D72" s="7" t="s">
        <v>279</v>
      </c>
      <c r="E72" s="6" t="s">
        <v>288</v>
      </c>
      <c r="F72" s="6" t="n">
        <v>820</v>
      </c>
      <c r="G72" s="6"/>
      <c r="H72" s="6"/>
      <c r="I72" s="7" t="s">
        <v>194</v>
      </c>
      <c r="J72" s="6" t="n">
        <v>957.25</v>
      </c>
      <c r="K72" s="6" t="n">
        <v>510</v>
      </c>
      <c r="L72" s="7"/>
    </row>
    <row r="73" customFormat="false" ht="15" hidden="false" customHeight="false" outlineLevel="0" collapsed="false">
      <c r="A73" s="6" t="s">
        <v>47</v>
      </c>
      <c r="B73" s="7" t="s">
        <v>25</v>
      </c>
      <c r="C73" s="6" t="s">
        <v>184</v>
      </c>
      <c r="D73" s="7" t="s">
        <v>279</v>
      </c>
      <c r="E73" s="6" t="s">
        <v>290</v>
      </c>
      <c r="F73" s="19" t="n">
        <v>577.5</v>
      </c>
      <c r="G73" s="6" t="n">
        <v>100</v>
      </c>
      <c r="H73" s="6" t="n">
        <v>2800</v>
      </c>
      <c r="I73" s="7"/>
      <c r="J73" s="6" t="n">
        <v>957.25</v>
      </c>
      <c r="K73" s="6" t="n">
        <v>601.62</v>
      </c>
      <c r="L73" s="7" t="s">
        <v>291</v>
      </c>
    </row>
    <row r="74" customFormat="false" ht="15" hidden="false" customHeight="false" outlineLevel="0" collapsed="false">
      <c r="A74" s="6" t="s">
        <v>13</v>
      </c>
      <c r="B74" s="7" t="s">
        <v>14</v>
      </c>
      <c r="C74" s="6" t="s">
        <v>160</v>
      </c>
      <c r="D74" s="7" t="s">
        <v>292</v>
      </c>
      <c r="E74" s="6" t="s">
        <v>293</v>
      </c>
      <c r="F74" s="6" t="n">
        <v>1255</v>
      </c>
      <c r="G74" s="6" t="n">
        <v>160</v>
      </c>
      <c r="H74" s="6" t="n">
        <v>2800</v>
      </c>
      <c r="I74" s="7"/>
      <c r="J74" s="6" t="n">
        <v>1142</v>
      </c>
      <c r="K74" s="6" t="n">
        <v>70.75</v>
      </c>
      <c r="L74" s="7" t="s">
        <v>294</v>
      </c>
    </row>
    <row r="75" customFormat="false" ht="15" hidden="false" customHeight="false" outlineLevel="0" collapsed="false">
      <c r="A75" s="6" t="s">
        <v>34</v>
      </c>
      <c r="B75" s="7" t="s">
        <v>35</v>
      </c>
      <c r="C75" s="6" t="s">
        <v>160</v>
      </c>
      <c r="D75" s="7" t="s">
        <v>292</v>
      </c>
      <c r="E75" s="6" t="s">
        <v>295</v>
      </c>
      <c r="F75" s="6" t="n">
        <v>1255</v>
      </c>
      <c r="G75" s="6" t="n">
        <v>160</v>
      </c>
      <c r="H75" s="6" t="n">
        <v>2800</v>
      </c>
      <c r="I75" s="7" t="s">
        <v>296</v>
      </c>
      <c r="J75" s="6" t="n">
        <v>1142</v>
      </c>
      <c r="K75" s="6" t="n">
        <v>196.25</v>
      </c>
      <c r="L75" s="7" t="s">
        <v>297</v>
      </c>
    </row>
    <row r="76" customFormat="false" ht="15" hidden="false" customHeight="false" outlineLevel="0" collapsed="false">
      <c r="A76" s="6" t="s">
        <v>65</v>
      </c>
      <c r="B76" s="7" t="s">
        <v>66</v>
      </c>
      <c r="C76" s="6" t="s">
        <v>167</v>
      </c>
      <c r="D76" s="7" t="s">
        <v>292</v>
      </c>
      <c r="E76" s="6" t="s">
        <v>295</v>
      </c>
      <c r="F76" s="6" t="n">
        <v>600</v>
      </c>
      <c r="G76" s="6"/>
      <c r="H76" s="6" t="n">
        <v>400</v>
      </c>
      <c r="I76" s="7" t="s">
        <v>296</v>
      </c>
      <c r="J76" s="6" t="n">
        <v>1142</v>
      </c>
      <c r="K76" s="6" t="n">
        <v>196.25</v>
      </c>
      <c r="L76" s="7"/>
    </row>
    <row r="77" customFormat="false" ht="15" hidden="false" customHeight="false" outlineLevel="0" collapsed="false">
      <c r="A77" s="6" t="s">
        <v>13</v>
      </c>
      <c r="B77" s="7" t="s">
        <v>14</v>
      </c>
      <c r="C77" s="6" t="s">
        <v>160</v>
      </c>
      <c r="D77" s="7" t="s">
        <v>292</v>
      </c>
      <c r="E77" s="6" t="s">
        <v>298</v>
      </c>
      <c r="F77" s="6" t="n">
        <v>1255</v>
      </c>
      <c r="G77" s="6" t="n">
        <v>160</v>
      </c>
      <c r="H77" s="6" t="n">
        <v>2800</v>
      </c>
      <c r="I77" s="7"/>
      <c r="J77" s="6" t="n">
        <v>1142</v>
      </c>
      <c r="K77" s="6" t="n">
        <v>321.75</v>
      </c>
      <c r="L77" s="7" t="s">
        <v>299</v>
      </c>
    </row>
    <row r="78" customFormat="false" ht="15" hidden="false" customHeight="false" outlineLevel="0" collapsed="false">
      <c r="A78" s="6" t="s">
        <v>13</v>
      </c>
      <c r="B78" s="7" t="s">
        <v>14</v>
      </c>
      <c r="C78" s="6" t="s">
        <v>160</v>
      </c>
      <c r="D78" s="7" t="s">
        <v>292</v>
      </c>
      <c r="E78" s="6" t="s">
        <v>300</v>
      </c>
      <c r="F78" s="6" t="n">
        <v>1255</v>
      </c>
      <c r="G78" s="6" t="n">
        <v>160</v>
      </c>
      <c r="H78" s="6" t="n">
        <v>2800</v>
      </c>
      <c r="I78" s="7"/>
      <c r="J78" s="6" t="n">
        <v>1142</v>
      </c>
      <c r="K78" s="6" t="n">
        <v>447.25</v>
      </c>
      <c r="L78" s="7" t="s">
        <v>301</v>
      </c>
    </row>
    <row r="79" customFormat="false" ht="15" hidden="false" customHeight="false" outlineLevel="0" collapsed="false">
      <c r="A79" s="6" t="s">
        <v>34</v>
      </c>
      <c r="B79" s="7" t="s">
        <v>35</v>
      </c>
      <c r="C79" s="6" t="s">
        <v>160</v>
      </c>
      <c r="D79" s="7" t="s">
        <v>292</v>
      </c>
      <c r="E79" s="6" t="s">
        <v>302</v>
      </c>
      <c r="F79" s="6" t="n">
        <v>1255</v>
      </c>
      <c r="G79" s="6" t="n">
        <v>160</v>
      </c>
      <c r="H79" s="6" t="n">
        <v>2800</v>
      </c>
      <c r="I79" s="7" t="s">
        <v>296</v>
      </c>
      <c r="J79" s="6" t="n">
        <v>1142</v>
      </c>
      <c r="K79" s="6" t="n">
        <v>572.75</v>
      </c>
      <c r="L79" s="7" t="s">
        <v>303</v>
      </c>
    </row>
    <row r="80" customFormat="false" ht="15" hidden="false" customHeight="false" outlineLevel="0" collapsed="false">
      <c r="A80" s="6" t="s">
        <v>65</v>
      </c>
      <c r="B80" s="7" t="s">
        <v>66</v>
      </c>
      <c r="C80" s="6" t="s">
        <v>167</v>
      </c>
      <c r="D80" s="7" t="s">
        <v>292</v>
      </c>
      <c r="E80" s="6" t="s">
        <v>302</v>
      </c>
      <c r="F80" s="6" t="n">
        <v>600</v>
      </c>
      <c r="G80" s="6"/>
      <c r="H80" s="6" t="n">
        <v>400</v>
      </c>
      <c r="I80" s="7" t="s">
        <v>296</v>
      </c>
      <c r="J80" s="6" t="n">
        <v>1142</v>
      </c>
      <c r="K80" s="6" t="n">
        <v>572.75</v>
      </c>
      <c r="L80" s="7"/>
    </row>
    <row r="81" customFormat="false" ht="15" hidden="false" customHeight="false" outlineLevel="0" collapsed="false">
      <c r="A81" s="6" t="s">
        <v>13</v>
      </c>
      <c r="B81" s="7" t="s">
        <v>14</v>
      </c>
      <c r="C81" s="6" t="s">
        <v>160</v>
      </c>
      <c r="D81" s="7" t="s">
        <v>292</v>
      </c>
      <c r="E81" s="6" t="s">
        <v>304</v>
      </c>
      <c r="F81" s="6" t="n">
        <v>1255</v>
      </c>
      <c r="G81" s="6" t="n">
        <v>160</v>
      </c>
      <c r="H81" s="6" t="n">
        <v>2800</v>
      </c>
      <c r="I81" s="7"/>
      <c r="J81" s="6" t="n">
        <v>1142</v>
      </c>
      <c r="K81" s="6" t="n">
        <v>698.25</v>
      </c>
      <c r="L81" s="7" t="s">
        <v>305</v>
      </c>
    </row>
    <row r="82" customFormat="false" ht="15" hidden="false" customHeight="false" outlineLevel="0" collapsed="false">
      <c r="A82" s="6" t="s">
        <v>13</v>
      </c>
      <c r="B82" s="7" t="s">
        <v>14</v>
      </c>
      <c r="C82" s="6" t="s">
        <v>160</v>
      </c>
      <c r="D82" s="7" t="s">
        <v>292</v>
      </c>
      <c r="E82" s="6" t="s">
        <v>306</v>
      </c>
      <c r="F82" s="6" t="n">
        <v>1255</v>
      </c>
      <c r="G82" s="6" t="n">
        <v>160</v>
      </c>
      <c r="H82" s="6" t="n">
        <v>2800</v>
      </c>
      <c r="I82" s="7"/>
      <c r="J82" s="6" t="n">
        <v>1142</v>
      </c>
      <c r="K82" s="6" t="n">
        <v>823.75</v>
      </c>
      <c r="L82" s="7" t="s">
        <v>307</v>
      </c>
    </row>
    <row r="83" customFormat="false" ht="15" hidden="false" customHeight="false" outlineLevel="0" collapsed="false">
      <c r="A83" s="6" t="s">
        <v>13</v>
      </c>
      <c r="B83" s="7" t="s">
        <v>14</v>
      </c>
      <c r="C83" s="6" t="s">
        <v>160</v>
      </c>
      <c r="D83" s="7" t="s">
        <v>292</v>
      </c>
      <c r="E83" s="6" t="s">
        <v>308</v>
      </c>
      <c r="F83" s="6" t="n">
        <v>1255</v>
      </c>
      <c r="G83" s="6" t="n">
        <v>160</v>
      </c>
      <c r="H83" s="6" t="n">
        <v>2800</v>
      </c>
      <c r="I83" s="7"/>
      <c r="J83" s="6" t="n">
        <v>1142</v>
      </c>
      <c r="K83" s="6" t="n">
        <v>949.25</v>
      </c>
      <c r="L83" s="7" t="s">
        <v>309</v>
      </c>
    </row>
    <row r="84" customFormat="false" ht="15" hidden="false" customHeight="false" outlineLevel="0" collapsed="false">
      <c r="A84" s="6" t="s">
        <v>31</v>
      </c>
      <c r="B84" s="7" t="s">
        <v>25</v>
      </c>
      <c r="C84" s="6" t="s">
        <v>160</v>
      </c>
      <c r="D84" s="7" t="s">
        <v>292</v>
      </c>
      <c r="E84" s="6" t="s">
        <v>310</v>
      </c>
      <c r="F84" s="6" t="n">
        <v>300</v>
      </c>
      <c r="G84" s="6" t="n">
        <v>160</v>
      </c>
      <c r="H84" s="6" t="n">
        <v>2800</v>
      </c>
      <c r="I84" s="7"/>
      <c r="J84" s="6" t="n">
        <v>1142</v>
      </c>
      <c r="K84" s="6" t="n">
        <v>1027</v>
      </c>
      <c r="L84" s="7" t="s">
        <v>311</v>
      </c>
    </row>
    <row r="85" customFormat="false" ht="15" hidden="false" customHeight="false" outlineLevel="0" collapsed="false">
      <c r="A85" s="6" t="s">
        <v>90</v>
      </c>
      <c r="B85" s="7" t="s">
        <v>91</v>
      </c>
      <c r="C85" s="6" t="s">
        <v>312</v>
      </c>
      <c r="D85" s="7" t="s">
        <v>313</v>
      </c>
      <c r="E85" s="6" t="s">
        <v>314</v>
      </c>
      <c r="F85" s="6" t="n">
        <v>160</v>
      </c>
      <c r="G85" s="6" t="n">
        <v>80</v>
      </c>
      <c r="H85" s="6" t="n">
        <v>2800</v>
      </c>
      <c r="I85" s="7"/>
      <c r="J85" s="6" t="n">
        <v>1142</v>
      </c>
      <c r="K85" s="6" t="n">
        <v>1046</v>
      </c>
      <c r="L85" s="7"/>
    </row>
    <row r="86" customFormat="false" ht="15" hidden="false" customHeight="false" outlineLevel="0" collapsed="false">
      <c r="A86" s="6" t="s">
        <v>90</v>
      </c>
      <c r="B86" s="7" t="s">
        <v>91</v>
      </c>
      <c r="C86" s="6" t="s">
        <v>312</v>
      </c>
      <c r="D86" s="7" t="s">
        <v>313</v>
      </c>
      <c r="E86" s="6" t="s">
        <v>315</v>
      </c>
      <c r="F86" s="6" t="n">
        <v>160</v>
      </c>
      <c r="G86" s="6" t="n">
        <v>80</v>
      </c>
      <c r="H86" s="6" t="n">
        <v>2800</v>
      </c>
      <c r="I86" s="7"/>
      <c r="J86" s="6" t="n">
        <v>8</v>
      </c>
      <c r="K86" s="6" t="n">
        <v>4</v>
      </c>
      <c r="L86" s="7"/>
    </row>
    <row r="87" customFormat="false" ht="15" hidden="false" customHeight="false" outlineLevel="0" collapsed="false">
      <c r="A87" s="6" t="s">
        <v>82</v>
      </c>
      <c r="B87" s="7" t="s">
        <v>83</v>
      </c>
      <c r="C87" s="6" t="s">
        <v>312</v>
      </c>
      <c r="D87" s="7" t="s">
        <v>316</v>
      </c>
      <c r="E87" s="6" t="s">
        <v>317</v>
      </c>
      <c r="F87" s="6" t="n">
        <v>100</v>
      </c>
      <c r="G87" s="6" t="n">
        <v>50</v>
      </c>
      <c r="H87" s="6" t="n">
        <v>2800</v>
      </c>
      <c r="I87" s="7"/>
      <c r="J87" s="6" t="n">
        <v>515.5</v>
      </c>
      <c r="K87" s="6" t="n">
        <v>635.5</v>
      </c>
      <c r="L87" s="7"/>
    </row>
    <row r="88" customFormat="false" ht="15" hidden="false" customHeight="false" outlineLevel="0" collapsed="false">
      <c r="A88" s="6" t="s">
        <v>90</v>
      </c>
      <c r="B88" s="7" t="s">
        <v>91</v>
      </c>
      <c r="C88" s="6" t="s">
        <v>312</v>
      </c>
      <c r="D88" s="7" t="s">
        <v>313</v>
      </c>
      <c r="E88" s="6" t="s">
        <v>318</v>
      </c>
      <c r="F88" s="6" t="n">
        <v>160</v>
      </c>
      <c r="G88" s="6" t="n">
        <v>80</v>
      </c>
      <c r="H88" s="6" t="n">
        <v>2800</v>
      </c>
      <c r="I88" s="7"/>
      <c r="J88" s="6" t="n">
        <v>8</v>
      </c>
      <c r="K88" s="6" t="n">
        <v>1046</v>
      </c>
      <c r="L88" s="7"/>
    </row>
    <row r="89" customFormat="false" ht="15" hidden="false" customHeight="false" outlineLevel="0" collapsed="false">
      <c r="A89" s="6" t="s">
        <v>90</v>
      </c>
      <c r="B89" s="7" t="s">
        <v>91</v>
      </c>
      <c r="C89" s="6" t="s">
        <v>312</v>
      </c>
      <c r="D89" s="7" t="s">
        <v>313</v>
      </c>
      <c r="E89" s="6" t="s">
        <v>319</v>
      </c>
      <c r="F89" s="6" t="n">
        <v>160</v>
      </c>
      <c r="G89" s="6" t="n">
        <v>80</v>
      </c>
      <c r="H89" s="6" t="n">
        <v>2800</v>
      </c>
      <c r="I89" s="7"/>
      <c r="J89" s="6" t="n">
        <v>1142</v>
      </c>
      <c r="K89" s="6" t="n">
        <v>4</v>
      </c>
      <c r="L89" s="7"/>
    </row>
    <row r="90" customFormat="false" ht="15" hidden="false" customHeight="false" outlineLevel="0" collapsed="false">
      <c r="A90" s="6" t="s">
        <v>82</v>
      </c>
      <c r="B90" s="7" t="s">
        <v>83</v>
      </c>
      <c r="C90" s="6" t="s">
        <v>312</v>
      </c>
      <c r="D90" s="7" t="s">
        <v>316</v>
      </c>
      <c r="E90" s="6" t="s">
        <v>320</v>
      </c>
      <c r="F90" s="6" t="n">
        <v>100</v>
      </c>
      <c r="G90" s="6" t="n">
        <v>50</v>
      </c>
      <c r="H90" s="6" t="n">
        <v>2800</v>
      </c>
      <c r="I90" s="7"/>
      <c r="J90" s="6" t="n">
        <v>515.5</v>
      </c>
      <c r="K90" s="6" t="n">
        <v>447.25</v>
      </c>
      <c r="L90" s="7"/>
    </row>
    <row r="91" customFormat="false" ht="15" hidden="false" customHeight="false" outlineLevel="0" collapsed="false">
      <c r="A91" s="6" t="s">
        <v>87</v>
      </c>
      <c r="B91" s="7" t="s">
        <v>88</v>
      </c>
      <c r="C91" s="6" t="s">
        <v>312</v>
      </c>
      <c r="D91" s="7" t="s">
        <v>321</v>
      </c>
      <c r="E91" s="6" t="s">
        <v>322</v>
      </c>
      <c r="F91" s="6" t="n">
        <v>100</v>
      </c>
      <c r="G91" s="6"/>
      <c r="H91" s="6" t="n">
        <v>2800</v>
      </c>
      <c r="I91" s="7"/>
      <c r="J91" s="6" t="n">
        <v>957.25</v>
      </c>
      <c r="K91" s="6" t="n">
        <v>321.75</v>
      </c>
      <c r="L91" s="7"/>
    </row>
    <row r="92" customFormat="false" ht="15" hidden="false" customHeight="false" outlineLevel="0" collapsed="false">
      <c r="A92" s="6" t="s">
        <v>87</v>
      </c>
      <c r="B92" s="7" t="s">
        <v>88</v>
      </c>
      <c r="C92" s="6" t="s">
        <v>312</v>
      </c>
      <c r="D92" s="7" t="s">
        <v>321</v>
      </c>
      <c r="E92" s="6" t="s">
        <v>323</v>
      </c>
      <c r="F92" s="6" t="n">
        <v>100</v>
      </c>
      <c r="G92" s="6"/>
      <c r="H92" s="6" t="n">
        <v>2800</v>
      </c>
      <c r="I92" s="7"/>
      <c r="J92" s="6" t="n">
        <v>831.75</v>
      </c>
      <c r="K92" s="6" t="n">
        <v>635.5</v>
      </c>
      <c r="L92" s="7"/>
    </row>
    <row r="93" customFormat="false" ht="15" hidden="false" customHeight="false" outlineLevel="0" collapsed="false">
      <c r="A93" s="6" t="s">
        <v>87</v>
      </c>
      <c r="B93" s="7" t="s">
        <v>88</v>
      </c>
      <c r="C93" s="6" t="s">
        <v>312</v>
      </c>
      <c r="D93" s="7" t="s">
        <v>321</v>
      </c>
      <c r="E93" s="6" t="s">
        <v>324</v>
      </c>
      <c r="F93" s="6" t="n">
        <v>100</v>
      </c>
      <c r="G93" s="6"/>
      <c r="H93" s="6" t="n">
        <v>2800</v>
      </c>
      <c r="I93" s="7"/>
      <c r="J93" s="6" t="n">
        <v>957.25</v>
      </c>
      <c r="K93" s="6" t="n">
        <v>447.25</v>
      </c>
      <c r="L93" s="7"/>
    </row>
    <row r="94" customFormat="false" ht="15" hidden="false" customHeight="false" outlineLevel="0" collapsed="false">
      <c r="A94" s="6" t="s">
        <v>87</v>
      </c>
      <c r="B94" s="7" t="s">
        <v>88</v>
      </c>
      <c r="C94" s="6" t="s">
        <v>312</v>
      </c>
      <c r="D94" s="7" t="s">
        <v>321</v>
      </c>
      <c r="E94" s="6" t="s">
        <v>325</v>
      </c>
      <c r="F94" s="6" t="n">
        <v>100</v>
      </c>
      <c r="G94" s="6"/>
      <c r="H94" s="6" t="n">
        <v>2800</v>
      </c>
      <c r="I94" s="7"/>
      <c r="J94" s="6" t="n">
        <v>957.25</v>
      </c>
      <c r="K94" s="6" t="n">
        <v>635.5</v>
      </c>
      <c r="L9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10"/>
  </cols>
  <sheetData>
    <row r="1" customFormat="false" ht="15" hidden="false" customHeight="false" outlineLevel="0" collapsed="false">
      <c r="A1" s="2" t="s">
        <v>326</v>
      </c>
    </row>
    <row r="2" customFormat="false" ht="15" hidden="false" customHeight="false" outlineLevel="0" collapsed="false">
      <c r="A2" s="3" t="s">
        <v>327</v>
      </c>
    </row>
    <row r="4" customFormat="false" ht="15" hidden="false" customHeight="false" outlineLevel="0" collapsed="false">
      <c r="A4" s="4" t="s">
        <v>328</v>
      </c>
      <c r="B4" s="4" t="s">
        <v>329</v>
      </c>
      <c r="C4" s="4" t="s">
        <v>330</v>
      </c>
      <c r="D4" s="4" t="s">
        <v>331</v>
      </c>
      <c r="E4" s="4" t="s">
        <v>332</v>
      </c>
      <c r="F4" s="4" t="s">
        <v>333</v>
      </c>
    </row>
    <row r="5" customFormat="false" ht="15" hidden="false" customHeight="false" outlineLevel="0" collapsed="false">
      <c r="A5" s="5" t="s">
        <v>334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7" t="s">
        <v>335</v>
      </c>
      <c r="B6" s="20" t="n">
        <v>1150</v>
      </c>
      <c r="C6" s="20" t="n">
        <v>773</v>
      </c>
      <c r="D6" s="6"/>
      <c r="E6" s="6"/>
      <c r="F6" s="7" t="s">
        <v>336</v>
      </c>
    </row>
    <row r="7" customFormat="false" ht="15" hidden="false" customHeight="false" outlineLevel="0" collapsed="false">
      <c r="A7" s="7" t="s">
        <v>337</v>
      </c>
      <c r="B7" s="20" t="n">
        <v>1050</v>
      </c>
      <c r="C7" s="20" t="n">
        <v>763</v>
      </c>
      <c r="D7" s="6"/>
      <c r="E7" s="6"/>
      <c r="F7" s="7" t="s">
        <v>338</v>
      </c>
    </row>
    <row r="8" customFormat="false" ht="15" hidden="false" customHeight="false" outlineLevel="0" collapsed="false">
      <c r="A8" s="7" t="s">
        <v>339</v>
      </c>
      <c r="B8" s="20" t="n">
        <v>1050</v>
      </c>
      <c r="C8" s="20" t="n">
        <v>773</v>
      </c>
      <c r="D8" s="6"/>
      <c r="E8" s="6"/>
      <c r="F8" s="7" t="s">
        <v>340</v>
      </c>
    </row>
    <row r="9" customFormat="false" ht="15" hidden="false" customHeight="false" outlineLevel="0" collapsed="false">
      <c r="A9" s="7" t="s">
        <v>341</v>
      </c>
      <c r="B9" s="20" t="n">
        <v>1150</v>
      </c>
      <c r="C9" s="20" t="n">
        <v>763</v>
      </c>
      <c r="D9" s="6"/>
      <c r="E9" s="6"/>
      <c r="F9" s="7" t="s">
        <v>342</v>
      </c>
    </row>
    <row r="10" customFormat="false" ht="15" hidden="false" customHeight="false" outlineLevel="0" collapsed="false">
      <c r="A10" s="7" t="s">
        <v>343</v>
      </c>
      <c r="B10" s="20" t="n">
        <v>30</v>
      </c>
      <c r="C10" s="20" t="n">
        <v>30</v>
      </c>
      <c r="D10" s="6"/>
      <c r="E10" s="6"/>
      <c r="F10" s="7" t="s">
        <v>344</v>
      </c>
    </row>
    <row r="11" customFormat="false" ht="15" hidden="false" customHeight="false" outlineLevel="0" collapsed="false">
      <c r="A11" s="7" t="s">
        <v>345</v>
      </c>
      <c r="B11" s="21" t="n">
        <v>0.33</v>
      </c>
      <c r="C11" s="21" t="n">
        <v>0.33</v>
      </c>
      <c r="D11" s="6"/>
      <c r="E11" s="6"/>
      <c r="F11" s="7" t="s">
        <v>346</v>
      </c>
    </row>
    <row r="12" customFormat="false" ht="15" hidden="false" customHeight="false" outlineLevel="0" collapsed="false">
      <c r="A12" s="5" t="s">
        <v>347</v>
      </c>
      <c r="B12" s="5"/>
      <c r="C12" s="5"/>
      <c r="D12" s="5"/>
      <c r="E12" s="5"/>
      <c r="F12" s="5"/>
    </row>
    <row r="13" customFormat="false" ht="15" hidden="false" customHeight="false" outlineLevel="0" collapsed="false">
      <c r="A13" s="7" t="s">
        <v>348</v>
      </c>
      <c r="B13" s="6" t="n">
        <f aca="false">COUNTIF(Sayım!$C$5:$C$94,"Dış pano")</f>
        <v>36</v>
      </c>
      <c r="C13" s="20" t="n">
        <v>25</v>
      </c>
      <c r="D13" s="6"/>
      <c r="E13" s="6"/>
      <c r="F13" s="7" t="s">
        <v>349</v>
      </c>
    </row>
    <row r="14" customFormat="false" ht="15" hidden="false" customHeight="false" outlineLevel="0" collapsed="false">
      <c r="A14" s="7" t="s">
        <v>350</v>
      </c>
      <c r="B14" s="20" t="n">
        <v>4</v>
      </c>
      <c r="C14" s="20" t="n">
        <v>6</v>
      </c>
      <c r="D14" s="6"/>
      <c r="E14" s="6"/>
      <c r="F14" s="7" t="s">
        <v>351</v>
      </c>
    </row>
    <row r="15" customFormat="false" ht="15" hidden="false" customHeight="false" outlineLevel="0" collapsed="false">
      <c r="A15" s="7" t="s">
        <v>352</v>
      </c>
      <c r="B15" s="6" t="n">
        <f aca="false">COUNTIF(Sayım!$C$5:$C$94,"İç pano")</f>
        <v>30</v>
      </c>
      <c r="C15" s="20" t="n">
        <v>11</v>
      </c>
      <c r="D15" s="6"/>
      <c r="E15" s="6"/>
      <c r="F15" s="7" t="s">
        <v>349</v>
      </c>
    </row>
    <row r="16" customFormat="false" ht="15" hidden="false" customHeight="false" outlineLevel="0" collapsed="false">
      <c r="A16" s="7" t="s">
        <v>353</v>
      </c>
      <c r="B16" s="20" t="n">
        <v>7</v>
      </c>
      <c r="C16" s="20" t="n">
        <v>4</v>
      </c>
      <c r="D16" s="6"/>
      <c r="E16" s="6"/>
      <c r="F16" s="7" t="s">
        <v>354</v>
      </c>
    </row>
    <row r="17" customFormat="false" ht="15" hidden="false" customHeight="false" outlineLevel="0" collapsed="false">
      <c r="A17" s="7" t="s">
        <v>355</v>
      </c>
      <c r="B17" s="6" t="n">
        <f aca="false">COUNTIFS(Sayım!$C$5:$C$94,"Bağlantı",Sayım!$D$5:$D$94,"İç duvar T birleşimi")</f>
        <v>4</v>
      </c>
      <c r="C17" s="20" t="n">
        <v>2</v>
      </c>
      <c r="D17" s="6"/>
      <c r="E17" s="6"/>
      <c r="F17" s="7" t="s">
        <v>349</v>
      </c>
    </row>
    <row r="18" customFormat="false" ht="15" hidden="false" customHeight="false" outlineLevel="0" collapsed="false">
      <c r="A18" s="7" t="s">
        <v>356</v>
      </c>
      <c r="B18" s="22" t="n">
        <f aca="false">SUMIFS(Sayım!$F$5:$F$94,Sayım!$C$5:$C$94,"Dış pano")/1000</f>
        <v>43.04</v>
      </c>
      <c r="C18" s="23" t="n">
        <v>30.02</v>
      </c>
      <c r="D18" s="6"/>
      <c r="E18" s="6"/>
      <c r="F18" s="7" t="s">
        <v>349</v>
      </c>
    </row>
    <row r="19" customFormat="false" ht="15" hidden="false" customHeight="false" outlineLevel="0" collapsed="false">
      <c r="A19" s="7" t="s">
        <v>357</v>
      </c>
      <c r="B19" s="22" t="n">
        <f aca="false">SUMIFS(Sayım!$F$5:$F$94,Sayım!$C$5:$C$94,"İç pano")/1000</f>
        <v>30.4975</v>
      </c>
      <c r="C19" s="23" t="n">
        <v>11.155</v>
      </c>
      <c r="D19" s="6"/>
      <c r="E19" s="6"/>
      <c r="F19" s="7" t="s">
        <v>349</v>
      </c>
    </row>
    <row r="20" customFormat="false" ht="15" hidden="false" customHeight="false" outlineLevel="0" collapsed="false">
      <c r="A20" s="7" t="s">
        <v>358</v>
      </c>
      <c r="B20" s="20" t="n">
        <v>10</v>
      </c>
      <c r="C20" s="20" t="n">
        <v>7</v>
      </c>
      <c r="D20" s="6"/>
      <c r="E20" s="6"/>
      <c r="F20" s="7" t="s">
        <v>359</v>
      </c>
    </row>
    <row r="21" customFormat="false" ht="15" hidden="false" customHeight="false" outlineLevel="0" collapsed="false">
      <c r="A21" s="7" t="s">
        <v>360</v>
      </c>
      <c r="B21" s="6" t="n">
        <f aca="false">COUNTIF(Sayım!$A$5:$A$94,"P02")</f>
        <v>3</v>
      </c>
      <c r="C21" s="20" t="n">
        <v>2</v>
      </c>
      <c r="D21" s="6"/>
      <c r="E21" s="6"/>
      <c r="F21" s="7" t="s">
        <v>349</v>
      </c>
    </row>
    <row r="22" customFormat="false" ht="15" hidden="false" customHeight="false" outlineLevel="0" collapsed="false">
      <c r="A22" s="5" t="s">
        <v>361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7" t="s">
        <v>362</v>
      </c>
      <c r="B23" s="23" t="n">
        <v>3.75</v>
      </c>
      <c r="C23" s="23" t="n">
        <v>3.75</v>
      </c>
      <c r="D23" s="6"/>
      <c r="E23" s="6"/>
      <c r="F23" s="7" t="s">
        <v>363</v>
      </c>
    </row>
    <row r="24" customFormat="false" ht="15" hidden="false" customHeight="false" outlineLevel="0" collapsed="false">
      <c r="A24" s="7" t="s">
        <v>364</v>
      </c>
      <c r="B24" s="23" t="n">
        <v>1</v>
      </c>
      <c r="C24" s="23" t="n">
        <v>0.87</v>
      </c>
      <c r="D24" s="6"/>
      <c r="E24" s="6"/>
      <c r="F24" s="7" t="s">
        <v>365</v>
      </c>
    </row>
    <row r="25" customFormat="false" ht="15" hidden="false" customHeight="false" outlineLevel="0" collapsed="false">
      <c r="A25" s="7" t="s">
        <v>366</v>
      </c>
      <c r="B25" s="23" t="n">
        <v>0.05</v>
      </c>
      <c r="C25" s="23" t="n">
        <v>0.05</v>
      </c>
      <c r="D25" s="6"/>
      <c r="E25" s="6"/>
      <c r="F25" s="7" t="s">
        <v>367</v>
      </c>
    </row>
    <row r="26" customFormat="false" ht="15" hidden="false" customHeight="false" outlineLevel="0" collapsed="false">
      <c r="A26" s="7" t="s">
        <v>368</v>
      </c>
      <c r="B26" s="23" t="n">
        <v>2.5</v>
      </c>
      <c r="C26" s="23" t="n">
        <v>2.5</v>
      </c>
      <c r="D26" s="6"/>
      <c r="E26" s="6"/>
      <c r="F26" s="7" t="s">
        <v>369</v>
      </c>
    </row>
    <row r="27" customFormat="false" ht="15" hidden="false" customHeight="false" outlineLevel="0" collapsed="false">
      <c r="A27" s="7" t="s">
        <v>370</v>
      </c>
      <c r="B27" s="23" t="n">
        <v>0.6</v>
      </c>
      <c r="C27" s="23" t="n">
        <v>0.6</v>
      </c>
      <c r="D27" s="6"/>
      <c r="E27" s="6"/>
      <c r="F27" s="7" t="s">
        <v>371</v>
      </c>
    </row>
    <row r="28" customFormat="false" ht="15" hidden="false" customHeight="false" outlineLevel="0" collapsed="false">
      <c r="A28" s="7" t="s">
        <v>372</v>
      </c>
      <c r="B28" s="23" t="n">
        <v>3.75</v>
      </c>
      <c r="C28" s="23" t="n">
        <v>3.75</v>
      </c>
      <c r="D28" s="6"/>
      <c r="E28" s="6"/>
      <c r="F28" s="7" t="s">
        <v>373</v>
      </c>
    </row>
    <row r="29" customFormat="false" ht="15" hidden="false" customHeight="false" outlineLevel="0" collapsed="false">
      <c r="A29" s="7" t="s">
        <v>374</v>
      </c>
      <c r="B29" s="21" t="n">
        <v>0.05</v>
      </c>
      <c r="C29" s="21" t="n">
        <v>0.05</v>
      </c>
      <c r="D29" s="6"/>
      <c r="E29" s="6"/>
      <c r="F29" s="7" t="s">
        <v>375</v>
      </c>
    </row>
    <row r="30" customFormat="false" ht="15" hidden="false" customHeight="false" outlineLevel="0" collapsed="false">
      <c r="A30" s="7" t="s">
        <v>376</v>
      </c>
      <c r="B30" s="23" t="n">
        <v>3</v>
      </c>
      <c r="C30" s="23" t="n">
        <v>3</v>
      </c>
      <c r="D30" s="6"/>
      <c r="E30" s="6"/>
      <c r="F30" s="7" t="s">
        <v>377</v>
      </c>
    </row>
    <row r="31" customFormat="false" ht="15" hidden="false" customHeight="false" outlineLevel="0" collapsed="false">
      <c r="A31" s="7" t="s">
        <v>378</v>
      </c>
      <c r="B31" s="23" t="n">
        <v>9.6</v>
      </c>
      <c r="C31" s="23" t="n">
        <v>9.6</v>
      </c>
      <c r="D31" s="6"/>
      <c r="E31" s="6"/>
      <c r="F31" s="7" t="s">
        <v>379</v>
      </c>
    </row>
    <row r="32" customFormat="false" ht="15" hidden="false" customHeight="false" outlineLevel="0" collapsed="false">
      <c r="A32" s="7" t="s">
        <v>380</v>
      </c>
      <c r="B32" s="23" t="n">
        <v>3.8</v>
      </c>
      <c r="C32" s="23" t="n">
        <v>3.8</v>
      </c>
      <c r="D32" s="6"/>
      <c r="E32" s="6"/>
      <c r="F32" s="7" t="s">
        <v>381</v>
      </c>
    </row>
    <row r="33" customFormat="false" ht="15" hidden="false" customHeight="false" outlineLevel="0" collapsed="false">
      <c r="A33" s="5" t="s">
        <v>382</v>
      </c>
      <c r="B33" s="5"/>
      <c r="C33" s="5"/>
      <c r="D33" s="5"/>
      <c r="E33" s="5"/>
      <c r="F33" s="5"/>
    </row>
    <row r="34" customFormat="false" ht="15" hidden="false" customHeight="false" outlineLevel="0" collapsed="false">
      <c r="A34" s="7" t="s">
        <v>383</v>
      </c>
      <c r="B34" s="8" t="n">
        <f aca="false">B13-B14</f>
        <v>32</v>
      </c>
      <c r="C34" s="8" t="n">
        <f aca="false">C13-C14</f>
        <v>19</v>
      </c>
      <c r="D34" s="20" t="n">
        <v>19</v>
      </c>
      <c r="E34" s="24" t="str">
        <f aca="false">IF(C34=D34,"✓","✗")</f>
        <v>✓</v>
      </c>
      <c r="F34" s="7" t="s">
        <v>384</v>
      </c>
    </row>
    <row r="35" customFormat="false" ht="15" hidden="false" customHeight="false" outlineLevel="0" collapsed="false">
      <c r="A35" s="7" t="s">
        <v>385</v>
      </c>
      <c r="B35" s="8" t="n">
        <f aca="false">B15-B16-B17</f>
        <v>19</v>
      </c>
      <c r="C35" s="8" t="n">
        <f aca="false">C15-C16-C17</f>
        <v>5</v>
      </c>
      <c r="D35" s="20" t="n">
        <v>5</v>
      </c>
      <c r="E35" s="24" t="str">
        <f aca="false">IF(C35=D35,"✓","✗")</f>
        <v>✓</v>
      </c>
      <c r="F35" s="7" t="s">
        <v>386</v>
      </c>
    </row>
    <row r="36" customFormat="false" ht="15" hidden="false" customHeight="false" outlineLevel="0" collapsed="false">
      <c r="A36" s="7" t="s">
        <v>387</v>
      </c>
      <c r="B36" s="8" t="n">
        <f aca="false">ROUNDUP(B18/B23,0)</f>
        <v>12</v>
      </c>
      <c r="C36" s="8" t="n">
        <f aca="false">ROUNDUP(C18/C23,0)</f>
        <v>9</v>
      </c>
      <c r="D36" s="20" t="n">
        <v>9</v>
      </c>
      <c r="E36" s="24" t="str">
        <f aca="false">IF(C36=D36,"✓","✗")</f>
        <v>✓</v>
      </c>
      <c r="F36" s="7" t="s">
        <v>388</v>
      </c>
    </row>
    <row r="37" customFormat="false" ht="15" hidden="false" customHeight="false" outlineLevel="0" collapsed="false">
      <c r="A37" s="7" t="s">
        <v>389</v>
      </c>
      <c r="B37" s="8" t="n">
        <f aca="false">ROUNDUP(B19/B23,0)</f>
        <v>9</v>
      </c>
      <c r="C37" s="8" t="n">
        <f aca="false">ROUNDUP(C19/C23,0)</f>
        <v>3</v>
      </c>
      <c r="D37" s="20" t="n">
        <v>3</v>
      </c>
      <c r="E37" s="24" t="str">
        <f aca="false">IF(C37=D37,"✓","✗")</f>
        <v>✓</v>
      </c>
      <c r="F37" s="7" t="s">
        <v>390</v>
      </c>
    </row>
    <row r="38" customFormat="false" ht="15" hidden="false" customHeight="false" outlineLevel="0" collapsed="false">
      <c r="A38" s="7" t="s">
        <v>78</v>
      </c>
      <c r="B38" s="8" t="n">
        <f aca="false">B21</f>
        <v>3</v>
      </c>
      <c r="C38" s="8" t="n">
        <f aca="false">C21</f>
        <v>2</v>
      </c>
      <c r="D38" s="20" t="n">
        <v>2</v>
      </c>
      <c r="E38" s="24" t="str">
        <f aca="false">IF(C38=D38,"✓","✗")</f>
        <v>✓</v>
      </c>
      <c r="F38" s="7" t="s">
        <v>391</v>
      </c>
    </row>
    <row r="39" customFormat="false" ht="15" hidden="false" customHeight="false" outlineLevel="0" collapsed="false">
      <c r="A39" s="5" t="s">
        <v>392</v>
      </c>
      <c r="B39" s="5"/>
      <c r="C39" s="5"/>
      <c r="D39" s="5"/>
      <c r="E39" s="5"/>
      <c r="F39" s="5"/>
    </row>
    <row r="40" customFormat="false" ht="15" hidden="false" customHeight="false" outlineLevel="0" collapsed="false">
      <c r="A40" s="7" t="s">
        <v>104</v>
      </c>
      <c r="B40" s="8" t="n">
        <f aca="false">2</f>
        <v>2</v>
      </c>
      <c r="C40" s="8" t="n">
        <f aca="false">2</f>
        <v>2</v>
      </c>
      <c r="D40" s="20" t="n">
        <v>2</v>
      </c>
      <c r="E40" s="24" t="str">
        <f aca="false">IF(C40=D40,"✓","✗")</f>
        <v>✓</v>
      </c>
      <c r="F40" s="7" t="s">
        <v>393</v>
      </c>
    </row>
    <row r="41" customFormat="false" ht="15" hidden="false" customHeight="false" outlineLevel="0" collapsed="false">
      <c r="A41" s="7" t="s">
        <v>107</v>
      </c>
      <c r="B41" s="8" t="n">
        <f aca="false">B20-2</f>
        <v>8</v>
      </c>
      <c r="C41" s="8" t="n">
        <f aca="false">C20-2</f>
        <v>5</v>
      </c>
      <c r="D41" s="20" t="n">
        <v>5</v>
      </c>
      <c r="E41" s="24" t="str">
        <f aca="false">IF(C41=D41,"✓","✗")</f>
        <v>✓</v>
      </c>
      <c r="F41" s="7" t="s">
        <v>394</v>
      </c>
    </row>
    <row r="42" customFormat="false" ht="15" hidden="false" customHeight="false" outlineLevel="0" collapsed="false">
      <c r="A42" s="7" t="s">
        <v>395</v>
      </c>
      <c r="B42" s="25" t="n">
        <f aca="false">(B8/2+B10)/100*SQRT(1+B11^2)</f>
        <v>5.84438980989461</v>
      </c>
      <c r="C42" s="25" t="n">
        <f aca="false">(C8/2+C10)/100*SQRT(1+C11^2)</f>
        <v>4.38592496544344</v>
      </c>
      <c r="D42" s="6"/>
      <c r="E42" s="7" t="s">
        <v>77</v>
      </c>
      <c r="F42" s="7" t="s">
        <v>396</v>
      </c>
    </row>
    <row r="43" customFormat="false" ht="15" hidden="false" customHeight="false" outlineLevel="0" collapsed="false">
      <c r="A43" s="7" t="s">
        <v>397</v>
      </c>
      <c r="B43" s="22" t="n">
        <f aca="false">(B9+2*B10)/100</f>
        <v>12.1</v>
      </c>
      <c r="C43" s="22" t="n">
        <f aca="false">(C9+2*C10)/100</f>
        <v>8.23</v>
      </c>
      <c r="D43" s="6"/>
      <c r="E43" s="7" t="s">
        <v>77</v>
      </c>
      <c r="F43" s="7" t="s">
        <v>398</v>
      </c>
    </row>
    <row r="44" customFormat="false" ht="15" hidden="false" customHeight="false" outlineLevel="0" collapsed="false">
      <c r="A44" s="7" t="s">
        <v>399</v>
      </c>
      <c r="B44" s="22" t="n">
        <f aca="false">2*B42*B43</f>
        <v>141.43423339945</v>
      </c>
      <c r="C44" s="22" t="n">
        <f aca="false">2*C42*C43</f>
        <v>72.192324931199</v>
      </c>
      <c r="D44" s="6"/>
      <c r="E44" s="7" t="s">
        <v>77</v>
      </c>
      <c r="F44" s="7" t="s">
        <v>400</v>
      </c>
    </row>
    <row r="45" customFormat="false" ht="15" hidden="false" customHeight="false" outlineLevel="0" collapsed="false">
      <c r="A45" s="7" t="s">
        <v>401</v>
      </c>
      <c r="B45" s="8" t="n">
        <f aca="false">2*ROUNDUP(B43/B24,0)</f>
        <v>26</v>
      </c>
      <c r="C45" s="8" t="n">
        <f aca="false">2*ROUNDUP(C43/C24,0)</f>
        <v>20</v>
      </c>
      <c r="D45" s="20" t="n">
        <v>20</v>
      </c>
      <c r="E45" s="24" t="str">
        <f aca="false">IF(C45=D45,"✓","✗")</f>
        <v>✓</v>
      </c>
      <c r="F45" s="7" t="s">
        <v>402</v>
      </c>
    </row>
    <row r="46" customFormat="false" ht="15" hidden="false" customHeight="false" outlineLevel="0" collapsed="false">
      <c r="A46" s="7" t="s">
        <v>403</v>
      </c>
      <c r="B46" s="25" t="n">
        <f aca="false">B42+B25</f>
        <v>5.89438980989461</v>
      </c>
      <c r="C46" s="25" t="n">
        <f aca="false">C42+C25</f>
        <v>4.43592496544344</v>
      </c>
      <c r="D46" s="6"/>
      <c r="E46" s="7" t="s">
        <v>77</v>
      </c>
      <c r="F46" s="7" t="s">
        <v>404</v>
      </c>
    </row>
    <row r="47" customFormat="false" ht="15" hidden="false" customHeight="false" outlineLevel="0" collapsed="false">
      <c r="A47" s="7" t="s">
        <v>405</v>
      </c>
      <c r="B47" s="8" t="n">
        <f aca="false">ROUNDUP(B43/B26,0)</f>
        <v>5</v>
      </c>
      <c r="C47" s="8" t="n">
        <f aca="false">ROUNDUP(C43/C26,0)</f>
        <v>4</v>
      </c>
      <c r="D47" s="20" t="n">
        <v>3</v>
      </c>
      <c r="E47" s="24" t="str">
        <f aca="false">IF(C47=D47,"✓","✗")</f>
        <v>✗</v>
      </c>
      <c r="F47" s="7" t="s">
        <v>406</v>
      </c>
    </row>
    <row r="48" customFormat="false" ht="15" hidden="false" customHeight="false" outlineLevel="0" collapsed="false">
      <c r="A48" s="7" t="s">
        <v>407</v>
      </c>
      <c r="B48" s="8" t="n">
        <f aca="false">ROUNDUP(2*B43/B26,0)</f>
        <v>10</v>
      </c>
      <c r="C48" s="8" t="n">
        <f aca="false">ROUNDUP(2*C43/C26,0)</f>
        <v>7</v>
      </c>
      <c r="D48" s="20" t="n">
        <v>7</v>
      </c>
      <c r="E48" s="24" t="str">
        <f aca="false">IF(C48=D48,"✓","✗")</f>
        <v>✓</v>
      </c>
      <c r="F48" s="7" t="s">
        <v>408</v>
      </c>
    </row>
    <row r="49" customFormat="false" ht="15" hidden="false" customHeight="false" outlineLevel="0" collapsed="false">
      <c r="A49" s="7" t="s">
        <v>409</v>
      </c>
      <c r="B49" s="8" t="n">
        <f aca="false">ROUNDUP(4*B42/B26,0)</f>
        <v>10</v>
      </c>
      <c r="C49" s="8" t="n">
        <f aca="false">ROUNDUP(4*C42/C26,0)</f>
        <v>8</v>
      </c>
      <c r="D49" s="20" t="n">
        <v>8</v>
      </c>
      <c r="E49" s="24" t="str">
        <f aca="false">IF(C49=D49,"✓","✗")</f>
        <v>✓</v>
      </c>
      <c r="F49" s="7" t="s">
        <v>410</v>
      </c>
    </row>
    <row r="50" customFormat="false" ht="15" hidden="false" customHeight="false" outlineLevel="0" collapsed="false">
      <c r="A50" s="7" t="s">
        <v>411</v>
      </c>
      <c r="B50" s="8" t="n">
        <f aca="false">ROUNDDOWN(B42/B27,0)+1</f>
        <v>10</v>
      </c>
      <c r="C50" s="8" t="n">
        <f aca="false">ROUNDDOWN(C42/C27,0)+1</f>
        <v>8</v>
      </c>
      <c r="D50" s="6"/>
      <c r="E50" s="7" t="s">
        <v>77</v>
      </c>
      <c r="F50" s="7" t="s">
        <v>412</v>
      </c>
    </row>
    <row r="51" customFormat="false" ht="15" hidden="false" customHeight="false" outlineLevel="0" collapsed="false">
      <c r="A51" s="7" t="s">
        <v>413</v>
      </c>
      <c r="B51" s="8" t="n">
        <f aca="false">ROUNDUP(2*B50*B43*(1+B29)/B28,0)</f>
        <v>68</v>
      </c>
      <c r="C51" s="8" t="n">
        <f aca="false">ROUNDUP(2*C50*C43*(1+C29)/C28,0)</f>
        <v>37</v>
      </c>
      <c r="D51" s="20" t="n">
        <v>37</v>
      </c>
      <c r="E51" s="24" t="str">
        <f aca="false">IF(C51=D51,"✓","✗")</f>
        <v>✓</v>
      </c>
      <c r="F51" s="7" t="s">
        <v>414</v>
      </c>
    </row>
    <row r="52" customFormat="false" ht="15" hidden="false" customHeight="false" outlineLevel="0" collapsed="false">
      <c r="A52" s="5" t="s">
        <v>415</v>
      </c>
      <c r="B52" s="5"/>
      <c r="C52" s="5"/>
      <c r="D52" s="5"/>
      <c r="E52" s="5"/>
      <c r="F52" s="5"/>
    </row>
    <row r="53" customFormat="false" ht="15" hidden="false" customHeight="false" outlineLevel="0" collapsed="false">
      <c r="A53" s="7" t="s">
        <v>416</v>
      </c>
      <c r="B53" s="22" t="n">
        <f aca="false">B6*B7/10000</f>
        <v>120.75</v>
      </c>
      <c r="C53" s="22" t="n">
        <f aca="false">C6*C7/10000</f>
        <v>58.9799</v>
      </c>
      <c r="D53" s="6"/>
      <c r="E53" s="7" t="s">
        <v>77</v>
      </c>
      <c r="F53" s="7" t="s">
        <v>417</v>
      </c>
    </row>
    <row r="54" customFormat="false" ht="15" hidden="false" customHeight="false" outlineLevel="0" collapsed="false">
      <c r="A54" s="7" t="s">
        <v>418</v>
      </c>
      <c r="B54" s="8" t="n">
        <f aca="false">ROUNDUP(B53/B30,0)</f>
        <v>41</v>
      </c>
      <c r="C54" s="8" t="n">
        <f aca="false">ROUNDUP(C53/C30,0)</f>
        <v>20</v>
      </c>
      <c r="D54" s="20" t="n">
        <v>20</v>
      </c>
      <c r="E54" s="24" t="str">
        <f aca="false">IF(C54=D54,"✓","✗")</f>
        <v>✓</v>
      </c>
      <c r="F54" s="7" t="s">
        <v>419</v>
      </c>
    </row>
    <row r="55" customFormat="false" ht="15" hidden="false" customHeight="false" outlineLevel="0" collapsed="false">
      <c r="A55" s="7" t="s">
        <v>420</v>
      </c>
      <c r="B55" s="8" t="n">
        <f aca="false">ROUNDUP(B53/B31,0)</f>
        <v>13</v>
      </c>
      <c r="C55" s="8" t="n">
        <f aca="false">ROUNDUP(C53/C31,0)</f>
        <v>7</v>
      </c>
      <c r="D55" s="20" t="n">
        <v>7</v>
      </c>
      <c r="E55" s="24" t="str">
        <f aca="false">IF(C55=D55,"✓","✗")</f>
        <v>✓</v>
      </c>
      <c r="F55" s="7" t="s">
        <v>421</v>
      </c>
    </row>
    <row r="56" customFormat="false" ht="15" hidden="false" customHeight="false" outlineLevel="0" collapsed="false">
      <c r="A56" s="5" t="s">
        <v>422</v>
      </c>
      <c r="B56" s="5"/>
      <c r="C56" s="5"/>
      <c r="D56" s="5"/>
      <c r="E56" s="5"/>
      <c r="F56" s="5"/>
    </row>
    <row r="57" customFormat="false" ht="15" hidden="false" customHeight="false" outlineLevel="0" collapsed="false">
      <c r="A57" s="7" t="s">
        <v>423</v>
      </c>
      <c r="B57" s="8" t="n">
        <f aca="false">ROUNDUP(2*B43/B32,0)</f>
        <v>7</v>
      </c>
      <c r="C57" s="8" t="n">
        <f aca="false">ROUNDUP(2*C43/C32,0)</f>
        <v>5</v>
      </c>
      <c r="D57" s="6"/>
      <c r="E57" s="7" t="s">
        <v>77</v>
      </c>
      <c r="F57" s="7" t="s">
        <v>424</v>
      </c>
    </row>
    <row r="58" customFormat="false" ht="15" hidden="false" customHeight="false" outlineLevel="0" collapsed="false">
      <c r="A58" s="7" t="s">
        <v>425</v>
      </c>
      <c r="B58" s="8" t="n">
        <f aca="false">4+IF(B43&gt;=10,2,0)</f>
        <v>6</v>
      </c>
      <c r="C58" s="8" t="n">
        <f aca="false">4+IF(C43&gt;=10,2,0)</f>
        <v>4</v>
      </c>
      <c r="D58" s="6"/>
      <c r="E58" s="7" t="s">
        <v>77</v>
      </c>
      <c r="F58" s="7" t="s">
        <v>426</v>
      </c>
    </row>
    <row r="59" customFormat="false" ht="15" hidden="false" customHeight="false" outlineLevel="0" collapsed="false">
      <c r="A59" s="7" t="s">
        <v>427</v>
      </c>
      <c r="B59" s="8" t="n">
        <f aca="false">B57*8</f>
        <v>56</v>
      </c>
      <c r="C59" s="8" t="n">
        <f aca="false">C57*8</f>
        <v>40</v>
      </c>
      <c r="D59" s="6"/>
      <c r="E59" s="7" t="s">
        <v>77</v>
      </c>
      <c r="F59" s="7" t="s">
        <v>428</v>
      </c>
    </row>
    <row r="60" customFormat="false" ht="15" hidden="false" customHeight="false" outlineLevel="0" collapsed="false">
      <c r="A60" s="7" t="s">
        <v>429</v>
      </c>
      <c r="B60" s="8" t="n">
        <f aca="false">B58*2</f>
        <v>12</v>
      </c>
      <c r="C60" s="8" t="n">
        <f aca="false">C58*2</f>
        <v>8</v>
      </c>
      <c r="D60" s="6"/>
      <c r="E60" s="7" t="s">
        <v>77</v>
      </c>
      <c r="F60" s="7" t="s">
        <v>430</v>
      </c>
    </row>
    <row r="61" customFormat="false" ht="15" hidden="false" customHeight="false" outlineLevel="0" collapsed="false">
      <c r="A61" s="7" t="s">
        <v>431</v>
      </c>
      <c r="B61" s="8" t="n">
        <f aca="false">B58*2</f>
        <v>12</v>
      </c>
      <c r="C61" s="8" t="n">
        <f aca="false">C58*2</f>
        <v>8</v>
      </c>
      <c r="D61" s="6"/>
      <c r="E61" s="7" t="s">
        <v>77</v>
      </c>
      <c r="F61" s="7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62"/>
    <col collapsed="false" customWidth="true" hidden="false" outlineLevel="0" max="4" min="4" style="0" width="52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2" t="s">
        <v>432</v>
      </c>
    </row>
    <row r="3" customFormat="false" ht="15" hidden="false" customHeight="false" outlineLevel="0" collapsed="false">
      <c r="A3" s="4" t="s">
        <v>433</v>
      </c>
      <c r="B3" s="4" t="s">
        <v>434</v>
      </c>
      <c r="C3" s="4" t="s">
        <v>435</v>
      </c>
      <c r="D3" s="4" t="s">
        <v>436</v>
      </c>
      <c r="E3" s="4" t="s">
        <v>437</v>
      </c>
    </row>
    <row r="4" customFormat="false" ht="31.5" hidden="false" customHeight="true" outlineLevel="0" collapsed="false">
      <c r="A4" s="6" t="n">
        <v>1</v>
      </c>
      <c r="B4" s="7" t="s">
        <v>438</v>
      </c>
      <c r="C4" s="7" t="s">
        <v>439</v>
      </c>
      <c r="D4" s="7" t="s">
        <v>440</v>
      </c>
      <c r="E4" s="7" t="s">
        <v>441</v>
      </c>
    </row>
    <row r="5" customFormat="false" ht="31.5" hidden="false" customHeight="true" outlineLevel="0" collapsed="false">
      <c r="A5" s="6" t="n">
        <v>2</v>
      </c>
      <c r="B5" s="7" t="s">
        <v>442</v>
      </c>
      <c r="C5" s="7" t="s">
        <v>443</v>
      </c>
      <c r="D5" s="7" t="s">
        <v>444</v>
      </c>
      <c r="E5" s="7" t="s">
        <v>445</v>
      </c>
    </row>
    <row r="6" customFormat="false" ht="31.5" hidden="false" customHeight="true" outlineLevel="0" collapsed="false">
      <c r="A6" s="6" t="n">
        <v>3</v>
      </c>
      <c r="B6" s="7" t="s">
        <v>446</v>
      </c>
      <c r="C6" s="7" t="s">
        <v>447</v>
      </c>
      <c r="D6" s="7" t="s">
        <v>448</v>
      </c>
      <c r="E6" s="7" t="s">
        <v>449</v>
      </c>
    </row>
    <row r="7" customFormat="false" ht="31.5" hidden="false" customHeight="true" outlineLevel="0" collapsed="false">
      <c r="A7" s="6" t="n">
        <v>4</v>
      </c>
      <c r="B7" s="7" t="s">
        <v>450</v>
      </c>
      <c r="C7" s="7" t="s">
        <v>451</v>
      </c>
      <c r="D7" s="7" t="s">
        <v>452</v>
      </c>
      <c r="E7" s="7" t="s">
        <v>453</v>
      </c>
    </row>
    <row r="8" customFormat="false" ht="31.5" hidden="false" customHeight="true" outlineLevel="0" collapsed="false">
      <c r="A8" s="6" t="n">
        <v>5</v>
      </c>
      <c r="B8" s="7" t="s">
        <v>454</v>
      </c>
      <c r="C8" s="7" t="s">
        <v>455</v>
      </c>
      <c r="D8" s="7" t="s">
        <v>456</v>
      </c>
      <c r="E8" s="7" t="s">
        <v>457</v>
      </c>
    </row>
    <row r="9" customFormat="false" ht="31.5" hidden="false" customHeight="true" outlineLevel="0" collapsed="false">
      <c r="A9" s="6" t="n">
        <v>6</v>
      </c>
      <c r="B9" s="7" t="s">
        <v>458</v>
      </c>
      <c r="C9" s="7" t="s">
        <v>455</v>
      </c>
      <c r="D9" s="7" t="s">
        <v>459</v>
      </c>
      <c r="E9" s="7" t="s">
        <v>460</v>
      </c>
    </row>
    <row r="10" customFormat="false" ht="31.5" hidden="false" customHeight="true" outlineLevel="0" collapsed="false">
      <c r="A10" s="6" t="n">
        <v>7</v>
      </c>
      <c r="B10" s="7" t="s">
        <v>461</v>
      </c>
      <c r="C10" s="7" t="s">
        <v>455</v>
      </c>
      <c r="D10" s="7" t="s">
        <v>462</v>
      </c>
      <c r="E10" s="7" t="s">
        <v>463</v>
      </c>
    </row>
    <row r="11" customFormat="false" ht="31.5" hidden="false" customHeight="true" outlineLevel="0" collapsed="false">
      <c r="A11" s="6" t="n">
        <v>8</v>
      </c>
      <c r="B11" s="7" t="s">
        <v>464</v>
      </c>
      <c r="C11" s="7" t="s">
        <v>465</v>
      </c>
      <c r="D11" s="7" t="s">
        <v>466</v>
      </c>
      <c r="E11" s="7" t="s">
        <v>467</v>
      </c>
    </row>
    <row r="12" customFormat="false" ht="31.5" hidden="false" customHeight="true" outlineLevel="0" collapsed="false">
      <c r="A12" s="6" t="n">
        <v>9</v>
      </c>
      <c r="B12" s="7" t="s">
        <v>468</v>
      </c>
      <c r="C12" s="7" t="s">
        <v>469</v>
      </c>
      <c r="D12" s="7" t="s">
        <v>470</v>
      </c>
      <c r="E12" s="7" t="s">
        <v>471</v>
      </c>
    </row>
    <row r="13" customFormat="false" ht="31.5" hidden="false" customHeight="true" outlineLevel="0" collapsed="false">
      <c r="A13" s="6" t="n">
        <v>10</v>
      </c>
      <c r="B13" s="7" t="s">
        <v>472</v>
      </c>
      <c r="C13" s="7" t="s">
        <v>473</v>
      </c>
      <c r="D13" s="7" t="s">
        <v>474</v>
      </c>
      <c r="E13" s="7" t="s">
        <v>475</v>
      </c>
    </row>
    <row r="14" customFormat="false" ht="31.5" hidden="false" customHeight="true" outlineLevel="0" collapsed="false">
      <c r="A14" s="6" t="n">
        <v>11</v>
      </c>
      <c r="B14" s="7" t="s">
        <v>476</v>
      </c>
      <c r="C14" s="7" t="s">
        <v>477</v>
      </c>
      <c r="D14" s="7" t="s">
        <v>478</v>
      </c>
      <c r="E14" s="7" t="s">
        <v>479</v>
      </c>
    </row>
    <row r="15" customFormat="false" ht="31.5" hidden="false" customHeight="true" outlineLevel="0" collapsed="false">
      <c r="A15" s="6" t="n">
        <v>12</v>
      </c>
      <c r="B15" s="7" t="s">
        <v>480</v>
      </c>
      <c r="C15" s="7" t="s">
        <v>455</v>
      </c>
      <c r="D15" s="7" t="s">
        <v>481</v>
      </c>
      <c r="E15" s="7" t="s">
        <v>482</v>
      </c>
    </row>
    <row r="16" customFormat="false" ht="31.5" hidden="false" customHeight="true" outlineLevel="0" collapsed="false">
      <c r="A16" s="6" t="n">
        <v>13</v>
      </c>
      <c r="B16" s="7" t="s">
        <v>483</v>
      </c>
      <c r="C16" s="7" t="s">
        <v>484</v>
      </c>
      <c r="D16" s="7" t="s">
        <v>77</v>
      </c>
      <c r="E16" s="7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2026-10-06T17:11:30Z</dcterms:created>
  <dc:creator>openpyxl</dc:creator>
  <dc:description/>
  <dc:language>en-US</dc:language>
  <cp:lastModifiedBy/>
  <dcterms:modified xsi:type="dcterms:W3CDTF">2026-10-06T17:11:31Z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
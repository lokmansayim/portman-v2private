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ORTATIFEV-MOZER\1. Projeler\1. Prefabrik\67. MODERN PREFABRIK 140 M2\5. UBEYDULLAH KONTROL\2. YUKLEME LISTESI\"/>
    </mc:Choice>
  </mc:AlternateContent>
  <xr:revisionPtr revIDLastSave="0" documentId="13_ncr:1_{E4E3E5CD-D628-4A5D-9802-81F74FE40BF9}" xr6:coauthVersionLast="47" xr6:coauthVersionMax="47" xr10:uidLastSave="{00000000-0000-0000-0000-000000000000}"/>
  <bookViews>
    <workbookView xWindow="28680" yWindow="-5490" windowWidth="38640" windowHeight="21240" xr2:uid="{00000000-000D-0000-FFFF-FFFF00000000}"/>
  </bookViews>
  <sheets>
    <sheet name="PREFABRİK" sheetId="5" r:id="rId1"/>
    <sheet name="BATUHAN TINMAZ" sheetId="6" r:id="rId2"/>
  </sheets>
  <definedNames>
    <definedName name="_xlnm.Print_Area" localSheetId="0">PREFABRİK!$A$1:$F$160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2" i="5" l="1"/>
  <c r="J134" i="5"/>
  <c r="J132" i="5"/>
  <c r="J131" i="5"/>
  <c r="G93" i="5"/>
  <c r="G83" i="5"/>
  <c r="G82" i="5"/>
  <c r="G81" i="5"/>
  <c r="G80" i="5"/>
  <c r="G76" i="5"/>
  <c r="G75" i="5"/>
  <c r="G74" i="5"/>
  <c r="G72" i="5"/>
  <c r="G70" i="5"/>
  <c r="G69" i="5"/>
  <c r="G68" i="5"/>
  <c r="G67" i="5"/>
  <c r="G66" i="5"/>
  <c r="G65" i="5"/>
  <c r="E15" i="5"/>
  <c r="D15" i="5"/>
  <c r="G141" i="5"/>
  <c r="G137" i="5"/>
  <c r="G135" i="5"/>
  <c r="G160" i="5"/>
  <c r="G159" i="5"/>
  <c r="G158" i="5"/>
  <c r="G157" i="5"/>
  <c r="G128" i="5"/>
  <c r="G125" i="5"/>
  <c r="G123" i="5"/>
  <c r="G106" i="5"/>
  <c r="G105" i="5"/>
  <c r="W20" i="6"/>
  <c r="X20" i="6" s="1"/>
  <c r="W19" i="6"/>
  <c r="W18" i="6"/>
  <c r="K36" i="6"/>
  <c r="D36" i="6"/>
  <c r="K35" i="6"/>
  <c r="D35" i="6"/>
  <c r="K34" i="6"/>
  <c r="K37" i="6" s="1"/>
  <c r="D34" i="6"/>
  <c r="D33" i="6"/>
  <c r="D32" i="6"/>
  <c r="K31" i="6"/>
  <c r="D31" i="6"/>
  <c r="K30" i="6"/>
  <c r="D30" i="6"/>
  <c r="K29" i="6"/>
  <c r="D29" i="6"/>
  <c r="K28" i="6"/>
  <c r="D28" i="6"/>
  <c r="K27" i="6"/>
  <c r="D27" i="6"/>
  <c r="K26" i="6"/>
  <c r="D26" i="6"/>
  <c r="K25" i="6"/>
  <c r="D25" i="6"/>
  <c r="K24" i="6"/>
  <c r="D24" i="6"/>
  <c r="K23" i="6"/>
  <c r="D23" i="6"/>
  <c r="K22" i="6"/>
  <c r="K32" i="6" s="1"/>
  <c r="D22" i="6"/>
  <c r="D37" i="6" s="1"/>
  <c r="K16" i="6"/>
  <c r="D16" i="6"/>
  <c r="V13" i="6"/>
  <c r="Q13" i="6"/>
  <c r="X19" i="6" s="1"/>
  <c r="K13" i="6"/>
  <c r="K12" i="6"/>
  <c r="D12" i="6"/>
  <c r="K11" i="6"/>
  <c r="D11" i="6"/>
  <c r="D13" i="6" s="1"/>
  <c r="V10" i="6"/>
  <c r="Q10" i="6"/>
  <c r="X18" i="6" s="1"/>
  <c r="J6" i="6"/>
  <c r="I6" i="6"/>
  <c r="K6" i="6" s="1"/>
  <c r="J5" i="6"/>
  <c r="K5" i="6" s="1"/>
  <c r="I5" i="6"/>
  <c r="C5" i="6"/>
  <c r="D5" i="6" s="1"/>
  <c r="J4" i="6"/>
  <c r="I4" i="6"/>
  <c r="K4" i="6" s="1"/>
  <c r="S19" i="6" s="1"/>
  <c r="T19" i="6" s="1"/>
  <c r="S26" i="6" s="1"/>
  <c r="T26" i="6" s="1"/>
  <c r="D4" i="6"/>
  <c r="K3" i="6"/>
  <c r="J3" i="6"/>
  <c r="I3" i="6"/>
  <c r="I7" i="6" s="1"/>
  <c r="W23" i="6" s="1"/>
  <c r="X23" i="6" s="1"/>
  <c r="D3" i="6"/>
  <c r="C3" i="6"/>
  <c r="D6" i="6" l="1"/>
  <c r="N18" i="6" s="1"/>
  <c r="O18" i="6" s="1"/>
  <c r="K38" i="6"/>
  <c r="K7" i="6"/>
  <c r="S20" i="6" s="1"/>
  <c r="T20" i="6" s="1"/>
  <c r="S28" i="6" s="1"/>
  <c r="T28" i="6" s="1"/>
  <c r="S18" i="6"/>
  <c r="T18" i="6" s="1"/>
  <c r="S24" i="6" s="1"/>
  <c r="T24" i="6" s="1"/>
  <c r="N28" i="6" l="1"/>
  <c r="O28" i="6" s="1"/>
  <c r="N26" i="6"/>
  <c r="O26" i="6" s="1"/>
  <c r="N24" i="6"/>
  <c r="O24" i="6" s="1"/>
</calcChain>
</file>

<file path=xl/sharedStrings.xml><?xml version="1.0" encoding="utf-8"?>
<sst xmlns="http://schemas.openxmlformats.org/spreadsheetml/2006/main" count="497" uniqueCount="282">
  <si>
    <t>LOFTEV YÜKLEME LİSTESİ</t>
  </si>
  <si>
    <t>MÜŞTERİ AD SOYAD</t>
  </si>
  <si>
    <t>İLETİŞİM NUMARASI</t>
  </si>
  <si>
    <t>SEVKİYAT YERİ</t>
  </si>
  <si>
    <t>SATIŞ TEMSİLCİSİ</t>
  </si>
  <si>
    <t>BİNA M2 / KAT ADEDİ / KAT YÜKSEKLİĞİ</t>
  </si>
  <si>
    <t>HAZIRLANMA BİLGİLERİ</t>
  </si>
  <si>
    <t>HAZIRLAYAN</t>
  </si>
  <si>
    <t>TARİH</t>
  </si>
  <si>
    <t>KONTROL</t>
  </si>
  <si>
    <t>NO</t>
  </si>
  <si>
    <t>BOYUT/ÖLÇÜ</t>
  </si>
  <si>
    <t>ADET</t>
  </si>
  <si>
    <t>KG</t>
  </si>
  <si>
    <t>MAKİNE</t>
  </si>
  <si>
    <t>DIŞ</t>
  </si>
  <si>
    <t>İÇ</t>
  </si>
  <si>
    <t>DUVAR KALINLIK</t>
  </si>
  <si>
    <t>ÇELİK PANEL GRUBU</t>
  </si>
  <si>
    <t>80X45X10X0,8</t>
  </si>
  <si>
    <t>ÇATI MAKAS PANELLERİ</t>
  </si>
  <si>
    <t>ALPHA MİNİ 0.8</t>
  </si>
  <si>
    <t>TOPLAM</t>
  </si>
  <si>
    <t>METAL AKSAM GRUBU</t>
  </si>
  <si>
    <t>L:4200</t>
  </si>
  <si>
    <t>KÖŞEBENT</t>
  </si>
  <si>
    <t>AŞIK</t>
  </si>
  <si>
    <t>L:2500</t>
  </si>
  <si>
    <t>12x1200x2400</t>
  </si>
  <si>
    <t>100*2500</t>
  </si>
  <si>
    <t>100'LÜK SAÇAK OMEGASI</t>
  </si>
  <si>
    <t>DIŞ CEPHE KAPLAMA GRUBU</t>
  </si>
  <si>
    <t>BOYUT</t>
  </si>
  <si>
    <t>NET ALAN</t>
  </si>
  <si>
    <t>BRÜT ALAN</t>
  </si>
  <si>
    <t>Boy C Profil</t>
  </si>
  <si>
    <t>BOARDEX (VERANDA-SUNDURMA-BALKON-TAVAN)</t>
  </si>
  <si>
    <t>ÇATI KAPLAMALARI GRUBU</t>
  </si>
  <si>
    <t>12x1200x2500</t>
  </si>
  <si>
    <t>100*100*2500</t>
  </si>
  <si>
    <t>60*60*2500</t>
  </si>
  <si>
    <t>100*100*60*2500</t>
  </si>
  <si>
    <t>60*60*60*2500</t>
  </si>
  <si>
    <t>100*2440</t>
  </si>
  <si>
    <t>60*2440</t>
  </si>
  <si>
    <t>Adet</t>
  </si>
  <si>
    <t>3 X 2.5</t>
  </si>
  <si>
    <t>2 X 1.5</t>
  </si>
  <si>
    <t>5 X 6</t>
  </si>
  <si>
    <t>70 Mm Pvc Boru</t>
  </si>
  <si>
    <t>L:2000</t>
  </si>
  <si>
    <t>L:500</t>
  </si>
  <si>
    <t>Pvc Açık Dirsek</t>
  </si>
  <si>
    <t>70 Mm</t>
  </si>
  <si>
    <t>Pvc Kapalı Dirsek</t>
  </si>
  <si>
    <t>Pvc İniş Kelepçesi</t>
  </si>
  <si>
    <t>L : 4000</t>
  </si>
  <si>
    <t>Beyaz Alçıpan (TAVAN)</t>
  </si>
  <si>
    <t>İÇ CEPHE KAPLAMA GRUBU</t>
  </si>
  <si>
    <t>DERE GRUBU</t>
  </si>
  <si>
    <t>İZOLASYON BANDI (MAHYA,BACA VS.)</t>
  </si>
  <si>
    <t>METRE</t>
  </si>
  <si>
    <t>DERE İNİŞ APARATI (ZIVANA)</t>
  </si>
  <si>
    <t>DERE KELEPÇESİ</t>
  </si>
  <si>
    <t>VİDA GRUBU</t>
  </si>
  <si>
    <t>ELEKTRİK GRUBU</t>
  </si>
  <si>
    <t>DEPO GRUBU</t>
  </si>
  <si>
    <t>MEKANİK TESİSAT GRUBU</t>
  </si>
  <si>
    <t>BOYA GRUBU</t>
  </si>
  <si>
    <t>DUYLU ARMATÜR</t>
  </si>
  <si>
    <t>STANDART</t>
  </si>
  <si>
    <t>YUVARLAK GLOP</t>
  </si>
  <si>
    <t>LED AMPUL</t>
  </si>
  <si>
    <t xml:space="preserve">NYM KABLO </t>
  </si>
  <si>
    <t>NYM KABLO</t>
  </si>
  <si>
    <t>UYDU KABLO</t>
  </si>
  <si>
    <t>BESLEME KABLOSU</t>
  </si>
  <si>
    <t>TEKLİ ANAHTAR</t>
  </si>
  <si>
    <t>ÇİFTLİ ANAHTAR</t>
  </si>
  <si>
    <t>TEKLİ PRİZ</t>
  </si>
  <si>
    <t xml:space="preserve">ADET </t>
  </si>
  <si>
    <t>ÇİFTLİ PRİZ</t>
  </si>
  <si>
    <t>UYDU PRİZ</t>
  </si>
  <si>
    <t>BUAT KASA (ALÇIPAN İÇİN)</t>
  </si>
  <si>
    <t>SİGORTA KUTUSU</t>
  </si>
  <si>
    <t>12 LI</t>
  </si>
  <si>
    <t xml:space="preserve"> W OTOMAT (SİGORTA)</t>
  </si>
  <si>
    <t>25 AMPER</t>
  </si>
  <si>
    <t>32 AMPER</t>
  </si>
  <si>
    <t>KAÇAK AKIM RÖLESİ</t>
  </si>
  <si>
    <t>2'LÜ</t>
  </si>
  <si>
    <t>İZOLE BANT</t>
  </si>
  <si>
    <t>MEKANİK HAVALANDIRMA FANI</t>
  </si>
  <si>
    <t>ZİL</t>
  </si>
  <si>
    <t>RYSB PUL BAŞLI  ( 3.9 X 32 )</t>
  </si>
  <si>
    <t>ALÇIPAN VİDASI  ( 3.5 X 35 ) (AKILLI UÇLU)</t>
  </si>
  <si>
    <t>OSB VE YALIPAN ( 3.9 X 32)</t>
  </si>
  <si>
    <t>PREFABRİK PENCERELER ( 4.8 X 70 )</t>
  </si>
  <si>
    <t>PVC PLASTİK BETOPAN  HAŞI</t>
  </si>
  <si>
    <t>ÇELİK DÜBEL ( KLİPSLİ )</t>
  </si>
  <si>
    <t>8 LİK TRAPEZ UÇ</t>
  </si>
  <si>
    <t>PH2 UÇ</t>
  </si>
  <si>
    <t>230 LUK KESME TAŞI</t>
  </si>
  <si>
    <t>İNOX TAŞ</t>
  </si>
  <si>
    <t>ACİL MÜDAHELE KAPAĞI</t>
  </si>
  <si>
    <t>POLÜRETAN KÖPÜK</t>
  </si>
  <si>
    <t>HAVALANDIRMA FANI</t>
  </si>
  <si>
    <t>MEKANİK HAVALANDIRMA 125'LİK BORUSU</t>
  </si>
  <si>
    <t>MEKANİK HAVALANDIRMA KAPALI DİRSEK</t>
  </si>
  <si>
    <t>MENFEZ</t>
  </si>
  <si>
    <t>TEMİZ SU BORUSU</t>
  </si>
  <si>
    <t>NORMAL DİRSEK   20MM</t>
  </si>
  <si>
    <t>KULAKLI DİRSEK   20MM</t>
  </si>
  <si>
    <t>DÜZ T   20MM</t>
  </si>
  <si>
    <t>MAŞON   20MM</t>
  </si>
  <si>
    <t xml:space="preserve">TAHARET MUSLUĞU 20 MM </t>
  </si>
  <si>
    <t>İÇ DİŞLİ T   20MM</t>
  </si>
  <si>
    <t>ATLAMA PARÇASI YARIM PARMAK</t>
  </si>
  <si>
    <t>YAPIŞTIRMA VE KARKASLI PANEL GRUBU</t>
  </si>
  <si>
    <t>100'LÜK YAPIŞTIRMA DOLU PANO</t>
  </si>
  <si>
    <t>100x1250x2500</t>
  </si>
  <si>
    <t>100x625x2500</t>
  </si>
  <si>
    <t>100'LÜK YAPIŞTIRMA DOLU VASİSTASLI PANO (60/40)</t>
  </si>
  <si>
    <t>60'LIK YAPIŞTIRMA DOLU PANO</t>
  </si>
  <si>
    <t>60x1250x2500</t>
  </si>
  <si>
    <t>60x625x2500</t>
  </si>
  <si>
    <t>PENCERE ÜST PANEL</t>
  </si>
  <si>
    <t>100x1250x500</t>
  </si>
  <si>
    <t>PENCERE ALT PANEL (120/120)</t>
  </si>
  <si>
    <t>100x1250x800</t>
  </si>
  <si>
    <t>PENCERE ALT PANEL (120/180)</t>
  </si>
  <si>
    <t>100x1250x200</t>
  </si>
  <si>
    <t>KARKASLI ÇELİK KAPI PANOSU</t>
  </si>
  <si>
    <t xml:space="preserve">60'LIK KARKASLI +KASALI  PANOLAR                </t>
  </si>
  <si>
    <t>KÖŞE DİREĞİ</t>
  </si>
  <si>
    <t>100x100x2500</t>
  </si>
  <si>
    <t>60x60x2500</t>
  </si>
  <si>
    <t>PROFİL VİDALAMA APARATI</t>
  </si>
  <si>
    <t>H ( DÜBELLİ&amp;KULAKLI)</t>
  </si>
  <si>
    <t>H ( DÜBELLİ )</t>
  </si>
  <si>
    <t>H (  STANDART )</t>
  </si>
  <si>
    <t>3 LÜ H (  STANDART )</t>
  </si>
  <si>
    <t>ÇEKTİRME U'SU (60 LIK)</t>
  </si>
  <si>
    <t>ÇEKTİRME U'SU (100 LÜK)</t>
  </si>
  <si>
    <t>100'LÜK PENCERE U SU H GEÇEN</t>
  </si>
  <si>
    <t>60'LIK DUVAR OMEGASI</t>
  </si>
  <si>
    <t>60*3750</t>
  </si>
  <si>
    <t>100'LÜK DUVAR OMEGASI</t>
  </si>
  <si>
    <t>300*2500</t>
  </si>
  <si>
    <t>100'LÜK ALT ÇERÇEVE</t>
  </si>
  <si>
    <t>100*3750</t>
  </si>
  <si>
    <t>60'LIK ALT ÇERÇEVE</t>
  </si>
  <si>
    <t>60*2500</t>
  </si>
  <si>
    <t>3 LÜ H ( DÜBELLİ VE KULAKLI)</t>
  </si>
  <si>
    <t>KAPI VE PENCERE GRUBU</t>
  </si>
  <si>
    <t>KARKASLI PANEL GRUBU</t>
  </si>
  <si>
    <t>DIŞ CEPHE</t>
  </si>
  <si>
    <t>Zemin Kat Yüksekliği</t>
  </si>
  <si>
    <t>İÇ CEPHE</t>
  </si>
  <si>
    <t>KAT</t>
  </si>
  <si>
    <t>ODA TİPİ</t>
  </si>
  <si>
    <t>ÇEVRE UZ.</t>
  </si>
  <si>
    <t>ALAN</t>
  </si>
  <si>
    <t>KAT YÜKSEKLİĞİ</t>
  </si>
  <si>
    <t>ZEMİN</t>
  </si>
  <si>
    <t>BEYAZ</t>
  </si>
  <si>
    <t>1. KAT</t>
  </si>
  <si>
    <t>ZEMİN KAT</t>
  </si>
  <si>
    <t>ZEMİN KAT (BEYAZ)</t>
  </si>
  <si>
    <t>DÖŞEME</t>
  </si>
  <si>
    <t>ZEMİN KAT (YEŞİL)</t>
  </si>
  <si>
    <t>1.Kat Yüksekliği</t>
  </si>
  <si>
    <t>1. KAT (BEYAZ)</t>
  </si>
  <si>
    <t>BRÜT ALAN:</t>
  </si>
  <si>
    <t>1. KAT (YEŞİL)</t>
  </si>
  <si>
    <t xml:space="preserve">TOPLAM ÇEVRE </t>
  </si>
  <si>
    <t>DIŞ CEPHE KOLON/KİRİŞ</t>
  </si>
  <si>
    <t>İÇ CEPHE KOLON/KİRİŞ</t>
  </si>
  <si>
    <t>YÜKSEKLİĞİ</t>
  </si>
  <si>
    <t>YEŞİL</t>
  </si>
  <si>
    <t>TOPLAM EK ALAN:</t>
  </si>
  <si>
    <t>VERANDA</t>
  </si>
  <si>
    <t>BALKON</t>
  </si>
  <si>
    <t>ALIN ALANI 1</t>
  </si>
  <si>
    <t>TOPLAM ALIN:</t>
  </si>
  <si>
    <t>İÇ CEPHE DUVAR</t>
  </si>
  <si>
    <t>TAVAN ALÇIPAN/BOARDEX</t>
  </si>
  <si>
    <t>ALIN ALANI 2</t>
  </si>
  <si>
    <t xml:space="preserve">BRÜT </t>
  </si>
  <si>
    <t>NET</t>
  </si>
  <si>
    <t>ALIN ALANI 3</t>
  </si>
  <si>
    <t>BEYAZ ALÇIPAN</t>
  </si>
  <si>
    <t>PENCERE/KAPI BOŞLUKLARI</t>
  </si>
  <si>
    <t>BEYAZ ALAN PENCERE/KAPI BOŞLUKLARI</t>
  </si>
  <si>
    <t>BOARDEX</t>
  </si>
  <si>
    <t>EN</t>
  </si>
  <si>
    <t>BOY</t>
  </si>
  <si>
    <t>YÜZEY</t>
  </si>
  <si>
    <t>TOPLAM UZ.</t>
  </si>
  <si>
    <t>%8 ZAİYAT</t>
  </si>
  <si>
    <t>%5 ZAİYAT</t>
  </si>
  <si>
    <t>Dış Cephe Boardex</t>
  </si>
  <si>
    <t>Duvar Alçıpan (Beyaz)</t>
  </si>
  <si>
    <t>Yüksek Tavan Çevresi</t>
  </si>
  <si>
    <t>Dekoratif Sıva</t>
  </si>
  <si>
    <t>Duvar Alçıpan (Yeşil)</t>
  </si>
  <si>
    <t>Dış Cephe Betopan</t>
  </si>
  <si>
    <t>Duvar OSB</t>
  </si>
  <si>
    <t>TOPLAM BEYAZ ALAN BOŞLUĞU</t>
  </si>
  <si>
    <t>YEŞİL ALAN PENCERE/KAPI BOŞLUKLARI</t>
  </si>
  <si>
    <t>TOPLAM:</t>
  </si>
  <si>
    <t>TOPLAM YEŞİL ALAN BOŞLUĞU</t>
  </si>
  <si>
    <t>TOPLAM BOŞLUK:</t>
  </si>
  <si>
    <t>L:15000</t>
  </si>
  <si>
    <t>L:11000</t>
  </si>
  <si>
    <t>BOARDEX (BANYO DUVAR)</t>
  </si>
  <si>
    <t>BOARDEX (BANYO TAVAN)</t>
  </si>
  <si>
    <t>MODERN PRAFABRİK 140 M2</t>
  </si>
  <si>
    <t>TEK</t>
  </si>
  <si>
    <t>BATUHAN TINMAZ</t>
  </si>
  <si>
    <t>60x1170x2500</t>
  </si>
  <si>
    <t>100x1200x2500</t>
  </si>
  <si>
    <t>100x1010x2500</t>
  </si>
  <si>
    <t>100x720x2500</t>
  </si>
  <si>
    <t>100x575x2500</t>
  </si>
  <si>
    <t>60x1220x2500</t>
  </si>
  <si>
    <t>60x1200x2500</t>
  </si>
  <si>
    <t>60x545x2500</t>
  </si>
  <si>
    <t>60x670x2500</t>
  </si>
  <si>
    <t>60x515x2500</t>
  </si>
  <si>
    <t>60x430x2500</t>
  </si>
  <si>
    <t>60x400x2500</t>
  </si>
  <si>
    <t>100*100*2850</t>
  </si>
  <si>
    <t>100*100*4390</t>
  </si>
  <si>
    <t>100*100*3040</t>
  </si>
  <si>
    <t>ÇATI PANELLERİ</t>
  </si>
  <si>
    <t>UBEYDULLAH ÖZER</t>
  </si>
  <si>
    <t>( 5.5 X 25 ) TRAPEZ VİDA (AŞIK+OMEGA+KÖŞEBENT)</t>
  </si>
  <si>
    <t>( 5.5 X 60 ) TRAPEZ VİDA (TRAPEZ SAC / METAL KİREMİT)</t>
  </si>
  <si>
    <t>( 5.5X 110) TRAPEZ VİDA ( SANDVİÇ PANEL)</t>
  </si>
  <si>
    <t>120*120</t>
  </si>
  <si>
    <t>120*180</t>
  </si>
  <si>
    <t>60*40</t>
  </si>
  <si>
    <t>özel köşe direklerini yaz</t>
  </si>
  <si>
    <r>
      <t>(</t>
    </r>
    <r>
      <rPr>
        <sz val="11"/>
        <color rgb="FFFF0000"/>
        <rFont val="Arial"/>
        <family val="2"/>
        <charset val="162"/>
      </rPr>
      <t>ANTRASİT</t>
    </r>
    <r>
      <rPr>
        <sz val="11"/>
        <rFont val="Arial"/>
        <family val="2"/>
        <charset val="162"/>
      </rPr>
      <t>) SAÇAK SACI (30'LUK)</t>
    </r>
  </si>
  <si>
    <r>
      <t>SANDVİÇ PANEL (100 CM KAPATIR) (</t>
    </r>
    <r>
      <rPr>
        <sz val="11"/>
        <color rgb="FFFF0000"/>
        <rFont val="Arial"/>
        <family val="2"/>
        <charset val="162"/>
      </rPr>
      <t>ANTRASİT</t>
    </r>
    <r>
      <rPr>
        <sz val="11"/>
        <color rgb="FF000000"/>
        <rFont val="Arial"/>
        <family val="2"/>
        <charset val="162"/>
      </rPr>
      <t>)</t>
    </r>
  </si>
  <si>
    <r>
      <t>MAHYA SAÇ (</t>
    </r>
    <r>
      <rPr>
        <sz val="11"/>
        <color rgb="FFFF0000"/>
        <rFont val="Arial"/>
        <family val="2"/>
        <charset val="162"/>
      </rPr>
      <t>ANTRASİT</t>
    </r>
    <r>
      <rPr>
        <sz val="11"/>
        <color rgb="FF000000"/>
        <rFont val="Arial"/>
        <family val="2"/>
        <charset val="162"/>
      </rPr>
      <t>)</t>
    </r>
  </si>
  <si>
    <t>TEK KAT PANEL VE SANDVİÇ PANEL UÇ KAPAMASI</t>
  </si>
  <si>
    <t>ÇATI İZOLASYONU (IZOCAM-KNAUF) 100 mm</t>
  </si>
  <si>
    <t>9,6 m² / Paket</t>
  </si>
  <si>
    <r>
      <t>METAL DERE (</t>
    </r>
    <r>
      <rPr>
        <sz val="11"/>
        <color rgb="FFFF0000"/>
        <rFont val="Arial"/>
        <family val="2"/>
        <charset val="162"/>
      </rPr>
      <t>ANTRASİT</t>
    </r>
    <r>
      <rPr>
        <sz val="11"/>
        <color rgb="FF000000"/>
        <rFont val="Arial"/>
        <family val="2"/>
        <charset val="162"/>
      </rPr>
      <t>)</t>
    </r>
  </si>
  <si>
    <t>Kova (17,5 KG)</t>
  </si>
  <si>
    <t>Tavan Boya</t>
  </si>
  <si>
    <t>Astar</t>
  </si>
  <si>
    <r>
      <t>Dış Cephe Boya (</t>
    </r>
    <r>
      <rPr>
        <sz val="11"/>
        <color rgb="FFFF0000"/>
        <rFont val="Arial"/>
        <family val="2"/>
        <charset val="162"/>
      </rPr>
      <t>Jotun 1140 - SAND</t>
    </r>
    <r>
      <rPr>
        <sz val="11"/>
        <color rgb="FF000000"/>
        <rFont val="Arial"/>
        <family val="2"/>
        <charset val="162"/>
      </rPr>
      <t>)</t>
    </r>
  </si>
  <si>
    <r>
      <t>İç Cephe Boya (</t>
    </r>
    <r>
      <rPr>
        <sz val="11"/>
        <color rgb="FFFF0000"/>
        <rFont val="Arial"/>
        <family val="2"/>
        <charset val="162"/>
      </rPr>
      <t>Polisan - Cİ-6610 / Yeni Kuğu</t>
    </r>
    <r>
      <rPr>
        <sz val="11"/>
        <color rgb="FF000000"/>
        <rFont val="Arial"/>
        <family val="2"/>
        <charset val="162"/>
      </rPr>
      <t>)</t>
    </r>
  </si>
  <si>
    <r>
      <t>DAYSON (</t>
    </r>
    <r>
      <rPr>
        <sz val="11"/>
        <color rgb="FFFF0000"/>
        <rFont val="Arial"/>
        <family val="2"/>
        <charset val="162"/>
      </rPr>
      <t>ANTRASİT</t>
    </r>
    <r>
      <rPr>
        <sz val="11"/>
        <color rgb="FF000000"/>
        <rFont val="Arial"/>
        <family val="2"/>
        <charset val="162"/>
      </rPr>
      <t>)</t>
    </r>
  </si>
  <si>
    <r>
      <t>MASTİK (</t>
    </r>
    <r>
      <rPr>
        <sz val="11"/>
        <color rgb="FFFF0000"/>
        <rFont val="Arial"/>
        <family val="2"/>
        <charset val="162"/>
      </rPr>
      <t>ANTRASİT</t>
    </r>
    <r>
      <rPr>
        <sz val="11"/>
        <color rgb="FF000000"/>
        <rFont val="Arial"/>
        <family val="2"/>
        <charset val="162"/>
      </rPr>
      <t>)</t>
    </r>
  </si>
  <si>
    <t>Standart 3 ile 5 arası gönderilir.</t>
  </si>
  <si>
    <t>Duvar üstü omegalar hariç 3.65 e bölünür</t>
  </si>
  <si>
    <t>TAVAN H'I L:1185 MM</t>
  </si>
  <si>
    <t>PVC OMEGA KAPAK L:3750MM</t>
  </si>
  <si>
    <t>Duvar omegalarına dik olacak şekilde 62,5 cm cm de bir atılır.</t>
  </si>
  <si>
    <t>Düz tavan olan yerler 125,5 cm de bir atılır. Veranda tavanı ters tavan yapılır.</t>
  </si>
  <si>
    <t>1200*1200</t>
  </si>
  <si>
    <t>1200*1800</t>
  </si>
  <si>
    <t>ÖZEL PENCERE KARKASI (120X120)
(100 LÜK ÇEKTİRME U SU + 100 LÜK H GEÇEN) - G</t>
  </si>
  <si>
    <t>ÖZEL PENCERE KARKASI (120X180)
(100 LÜK ÇEKTİRME U SU + 100 LÜK H GEÇEN) - H</t>
  </si>
  <si>
    <t>ÖZEL KUTU PROFİL (KOLON) (3MM) - A</t>
  </si>
  <si>
    <t>ÖZEL KUTU PROFİL (KOLON) (3MM) - B</t>
  </si>
  <si>
    <t>ÖZEL 3 LÜ H ( DÜBELLİ VE KULAKLI) - C</t>
  </si>
  <si>
    <t>ÖZEL KÖŞE DİREĞİ - D</t>
  </si>
  <si>
    <t>ÖZEL KÖŞE DİREĞİ - E</t>
  </si>
  <si>
    <t>ÖZEL KÖŞE DİREĞİ - F</t>
  </si>
  <si>
    <t xml:space="preserve">KUTU PROFİL (KİRİŞ) </t>
  </si>
  <si>
    <r>
      <t xml:space="preserve">PVC DOĞRAMA + PERVAZ MATİK + ÇİFT AÇILIM + </t>
    </r>
    <r>
      <rPr>
        <sz val="11"/>
        <color rgb="FFFF0000"/>
        <rFont val="Arial"/>
        <family val="2"/>
        <charset val="162"/>
      </rPr>
      <t>ANTRASİT</t>
    </r>
  </si>
  <si>
    <r>
      <t xml:space="preserve">PVC DOĞRAMA + PERVAZ MATİK + VASİSTAS + </t>
    </r>
    <r>
      <rPr>
        <sz val="11"/>
        <color rgb="FFFF0000"/>
        <rFont val="Arial"/>
        <family val="2"/>
        <charset val="162"/>
      </rPr>
      <t>ANTRASİT</t>
    </r>
  </si>
  <si>
    <t>90*200</t>
  </si>
  <si>
    <r>
      <t>Prefabrik Çelik Kapı (</t>
    </r>
    <r>
      <rPr>
        <sz val="11"/>
        <color rgb="FFFF0000"/>
        <rFont val="Arial"/>
        <family val="2"/>
        <charset val="162"/>
      </rPr>
      <t>SAĞ</t>
    </r>
    <r>
      <rPr>
        <sz val="11"/>
        <color rgb="FF000000"/>
        <rFont val="Arial"/>
        <family val="2"/>
        <charset val="162"/>
      </rPr>
      <t>)</t>
    </r>
  </si>
  <si>
    <t>82*196</t>
  </si>
  <si>
    <r>
      <t>Amerikan Panel Kapı (</t>
    </r>
    <r>
      <rPr>
        <sz val="11"/>
        <color rgb="FFFF0000"/>
        <rFont val="Arial"/>
        <family val="2"/>
        <charset val="162"/>
      </rPr>
      <t>Sağ</t>
    </r>
    <r>
      <rPr>
        <sz val="11"/>
        <color rgb="FF000000"/>
        <rFont val="Arial"/>
        <family val="2"/>
        <charset val="162"/>
      </rPr>
      <t>)</t>
    </r>
  </si>
  <si>
    <r>
      <t>Amerikan Panel Kapı (</t>
    </r>
    <r>
      <rPr>
        <sz val="11"/>
        <color rgb="FFFF0000"/>
        <rFont val="Arial"/>
        <family val="2"/>
        <charset val="162"/>
      </rPr>
      <t>Sol</t>
    </r>
    <r>
      <rPr>
        <sz val="11"/>
        <color rgb="FF000000"/>
        <rFont val="Arial"/>
        <family val="2"/>
        <charset val="16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</si>
</sst>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1"/>
      <color rgb="FFFF0000"/>
      <name val="Arial"/>
      <family val="2"/>
      <charset val="162"/>
    </font>
    <font>
      <sz val="11"/>
      <color rgb="FF000000"/>
      <name val="Arial"/>
      <family val="2"/>
      <charset val="162"/>
    </font>
    <font>
      <sz val="10"/>
      <name val="Arial"/>
      <family val="2"/>
      <charset val="162"/>
    </font>
    <font>
      <b/>
      <sz val="10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0"/>
      <name val="Calibri"/>
      <family val="2"/>
      <charset val="162"/>
    </font>
    <font>
      <sz val="10"/>
      <name val="Arial"/>
      <family val="2"/>
      <charset val="162"/>
    </font>
    <font>
      <sz val="10"/>
      <color rgb="FF000000"/>
      <name val="Calibri"/>
      <family val="2"/>
      <charset val="162"/>
    </font>
    <font>
      <b/>
      <sz val="12"/>
      <color theme="1" tint="4.9989318521683403E-2"/>
      <name val="Arial"/>
      <family val="2"/>
      <charset val="162"/>
    </font>
    <font>
      <sz val="11"/>
      <name val="Arial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3CF31"/>
        <bgColor rgb="FF000000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8" fillId="0" borderId="0" xfId="0" applyFont="1"/>
    <xf numFmtId="0" fontId="9" fillId="4" borderId="14" xfId="0" applyFont="1" applyFill="1" applyBorder="1"/>
    <xf numFmtId="0" fontId="9" fillId="4" borderId="15" xfId="0" applyFont="1" applyFill="1" applyBorder="1"/>
    <xf numFmtId="0" fontId="7" fillId="4" borderId="15" xfId="0" applyFont="1" applyFill="1" applyBorder="1"/>
    <xf numFmtId="0" fontId="9" fillId="4" borderId="16" xfId="0" applyFont="1" applyFill="1" applyBorder="1"/>
    <xf numFmtId="0" fontId="10" fillId="0" borderId="0" xfId="0" applyFont="1"/>
    <xf numFmtId="0" fontId="8" fillId="4" borderId="17" xfId="0" applyFont="1" applyFill="1" applyBorder="1"/>
    <xf numFmtId="0" fontId="7" fillId="4" borderId="2" xfId="0" applyFont="1" applyFill="1" applyBorder="1"/>
    <xf numFmtId="0" fontId="8" fillId="4" borderId="18" xfId="0" applyFont="1" applyFill="1" applyBorder="1"/>
    <xf numFmtId="0" fontId="8" fillId="5" borderId="20" xfId="0" applyFont="1" applyFill="1" applyBorder="1"/>
    <xf numFmtId="0" fontId="8" fillId="6" borderId="1" xfId="0" applyFont="1" applyFill="1" applyBorder="1"/>
    <xf numFmtId="0" fontId="8" fillId="0" borderId="1" xfId="0" applyFont="1" applyBorder="1"/>
    <xf numFmtId="0" fontId="10" fillId="0" borderId="21" xfId="0" applyFont="1" applyBorder="1"/>
    <xf numFmtId="0" fontId="8" fillId="7" borderId="20" xfId="0" applyFont="1" applyFill="1" applyBorder="1"/>
    <xf numFmtId="0" fontId="8" fillId="0" borderId="20" xfId="0" applyFont="1" applyBorder="1"/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6" borderId="20" xfId="0" applyFont="1" applyFill="1" applyBorder="1"/>
    <xf numFmtId="0" fontId="8" fillId="9" borderId="22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10" borderId="20" xfId="0" applyFont="1" applyFill="1" applyBorder="1"/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12" borderId="23" xfId="0" applyFont="1" applyFill="1" applyBorder="1"/>
    <xf numFmtId="0" fontId="8" fillId="12" borderId="24" xfId="0" applyFont="1" applyFill="1" applyBorder="1"/>
    <xf numFmtId="0" fontId="8" fillId="12" borderId="24" xfId="0" applyFont="1" applyFill="1" applyBorder="1" applyAlignment="1">
      <alignment horizontal="right"/>
    </xf>
    <xf numFmtId="0" fontId="8" fillId="13" borderId="25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12" borderId="23" xfId="0" applyFont="1" applyFill="1" applyBorder="1" applyAlignment="1">
      <alignment horizontal="right"/>
    </xf>
    <xf numFmtId="0" fontId="8" fillId="13" borderId="24" xfId="0" applyFont="1" applyFill="1" applyBorder="1"/>
    <xf numFmtId="0" fontId="8" fillId="13" borderId="2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14" borderId="27" xfId="0" applyFont="1" applyFill="1" applyBorder="1" applyAlignment="1">
      <alignment vertical="center"/>
    </xf>
    <xf numFmtId="0" fontId="8" fillId="14" borderId="28" xfId="0" applyFont="1" applyFill="1" applyBorder="1" applyAlignment="1">
      <alignment vertical="center"/>
    </xf>
    <xf numFmtId="0" fontId="7" fillId="4" borderId="20" xfId="0" applyFont="1" applyFill="1" applyBorder="1"/>
    <xf numFmtId="0" fontId="7" fillId="4" borderId="1" xfId="0" applyFont="1" applyFill="1" applyBorder="1"/>
    <xf numFmtId="0" fontId="8" fillId="4" borderId="22" xfId="0" applyFont="1" applyFill="1" applyBorder="1"/>
    <xf numFmtId="0" fontId="10" fillId="13" borderId="10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8" fillId="0" borderId="1" xfId="0" applyFont="1" applyBorder="1" applyAlignment="1">
      <alignment horizontal="center"/>
    </xf>
    <xf numFmtId="0" fontId="10" fillId="0" borderId="22" xfId="0" applyFont="1" applyBorder="1"/>
    <xf numFmtId="0" fontId="8" fillId="15" borderId="27" xfId="0" applyFont="1" applyFill="1" applyBorder="1" applyAlignment="1">
      <alignment vertical="center"/>
    </xf>
    <xf numFmtId="0" fontId="8" fillId="15" borderId="28" xfId="0" applyFont="1" applyFill="1" applyBorder="1" applyAlignment="1">
      <alignment vertical="center"/>
    </xf>
    <xf numFmtId="0" fontId="8" fillId="5" borderId="23" xfId="0" applyFont="1" applyFill="1" applyBorder="1"/>
    <xf numFmtId="0" fontId="8" fillId="16" borderId="24" xfId="0" applyFont="1" applyFill="1" applyBorder="1"/>
    <xf numFmtId="0" fontId="10" fillId="0" borderId="24" xfId="0" applyFont="1" applyBorder="1"/>
    <xf numFmtId="0" fontId="10" fillId="0" borderId="25" xfId="0" applyFont="1" applyBorder="1"/>
    <xf numFmtId="0" fontId="8" fillId="7" borderId="23" xfId="0" applyFont="1" applyFill="1" applyBorder="1"/>
    <xf numFmtId="0" fontId="8" fillId="3" borderId="14" xfId="0" applyFont="1" applyFill="1" applyBorder="1"/>
    <xf numFmtId="0" fontId="8" fillId="0" borderId="15" xfId="0" applyFont="1" applyBorder="1"/>
    <xf numFmtId="0" fontId="8" fillId="3" borderId="20" xfId="0" applyFont="1" applyFill="1" applyBorder="1"/>
    <xf numFmtId="0" fontId="8" fillId="4" borderId="20" xfId="0" applyFont="1" applyFill="1" applyBorder="1"/>
    <xf numFmtId="0" fontId="8" fillId="4" borderId="1" xfId="0" applyFont="1" applyFill="1" applyBorder="1"/>
    <xf numFmtId="0" fontId="10" fillId="4" borderId="20" xfId="0" applyFont="1" applyFill="1" applyBorder="1"/>
    <xf numFmtId="0" fontId="8" fillId="3" borderId="23" xfId="0" applyFont="1" applyFill="1" applyBorder="1"/>
    <xf numFmtId="0" fontId="8" fillId="0" borderId="24" xfId="0" applyFont="1" applyBorder="1"/>
    <xf numFmtId="2" fontId="8" fillId="9" borderId="1" xfId="0" applyNumberFormat="1" applyFont="1" applyFill="1" applyBorder="1" applyAlignment="1">
      <alignment horizontal="center" vertical="center"/>
    </xf>
    <xf numFmtId="2" fontId="8" fillId="9" borderId="22" xfId="0" applyNumberFormat="1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right"/>
    </xf>
    <xf numFmtId="0" fontId="10" fillId="17" borderId="1" xfId="0" applyFont="1" applyFill="1" applyBorder="1" applyAlignment="1">
      <alignment horizontal="center" vertical="center"/>
    </xf>
    <xf numFmtId="0" fontId="10" fillId="18" borderId="22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right"/>
    </xf>
    <xf numFmtId="0" fontId="8" fillId="0" borderId="22" xfId="0" applyFont="1" applyBorder="1" applyAlignment="1">
      <alignment horizontal="center" vertical="center"/>
    </xf>
    <xf numFmtId="0" fontId="11" fillId="10" borderId="20" xfId="0" applyFont="1" applyFill="1" applyBorder="1" applyAlignment="1">
      <alignment horizontal="right"/>
    </xf>
    <xf numFmtId="0" fontId="8" fillId="10" borderId="20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8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2" fontId="8" fillId="13" borderId="24" xfId="0" applyNumberFormat="1" applyFont="1" applyFill="1" applyBorder="1" applyAlignment="1">
      <alignment horizontal="center" vertical="center"/>
    </xf>
    <xf numFmtId="2" fontId="8" fillId="13" borderId="25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right"/>
    </xf>
    <xf numFmtId="0" fontId="10" fillId="17" borderId="24" xfId="0" applyFont="1" applyFill="1" applyBorder="1" applyAlignment="1">
      <alignment horizontal="center" vertical="center"/>
    </xf>
    <xf numFmtId="0" fontId="10" fillId="18" borderId="25" xfId="0" applyFont="1" applyFill="1" applyBorder="1" applyAlignment="1">
      <alignment horizontal="center" vertical="center"/>
    </xf>
    <xf numFmtId="0" fontId="9" fillId="4" borderId="20" xfId="0" applyFont="1" applyFill="1" applyBorder="1"/>
    <xf numFmtId="0" fontId="9" fillId="4" borderId="1" xfId="0" applyFont="1" applyFill="1" applyBorder="1"/>
    <xf numFmtId="0" fontId="8" fillId="0" borderId="36" xfId="0" applyFont="1" applyBorder="1"/>
    <xf numFmtId="0" fontId="8" fillId="0" borderId="0" xfId="0" applyFont="1" applyAlignment="1">
      <alignment vertical="center"/>
    </xf>
    <xf numFmtId="0" fontId="10" fillId="4" borderId="14" xfId="0" applyFont="1" applyFill="1" applyBorder="1"/>
    <xf numFmtId="0" fontId="8" fillId="4" borderId="15" xfId="0" applyFont="1" applyFill="1" applyBorder="1"/>
    <xf numFmtId="0" fontId="8" fillId="4" borderId="16" xfId="0" applyFont="1" applyFill="1" applyBorder="1"/>
    <xf numFmtId="0" fontId="8" fillId="4" borderId="1" xfId="0" applyFont="1" applyFill="1" applyBorder="1" applyAlignment="1">
      <alignment horizontal="center"/>
    </xf>
    <xf numFmtId="0" fontId="10" fillId="19" borderId="24" xfId="0" applyFont="1" applyFill="1" applyBorder="1"/>
    <xf numFmtId="0" fontId="10" fillId="18" borderId="25" xfId="0" applyFont="1" applyFill="1" applyBorder="1"/>
    <xf numFmtId="0" fontId="8" fillId="0" borderId="0" xfId="0" applyFont="1" applyAlignment="1">
      <alignment vertical="center" wrapText="1"/>
    </xf>
    <xf numFmtId="0" fontId="8" fillId="0" borderId="7" xfId="0" applyFont="1" applyBorder="1"/>
    <xf numFmtId="0" fontId="10" fillId="0" borderId="20" xfId="0" applyFont="1" applyBorder="1"/>
    <xf numFmtId="0" fontId="10" fillId="0" borderId="1" xfId="0" applyFont="1" applyBorder="1"/>
    <xf numFmtId="0" fontId="8" fillId="13" borderId="22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2" fillId="2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3" borderId="26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right"/>
    </xf>
    <xf numFmtId="0" fontId="8" fillId="12" borderId="10" xfId="0" applyFont="1" applyFill="1" applyBorder="1" applyAlignment="1">
      <alignment horizontal="right"/>
    </xf>
    <xf numFmtId="0" fontId="8" fillId="12" borderId="29" xfId="0" applyFont="1" applyFill="1" applyBorder="1" applyAlignment="1">
      <alignment horizontal="right"/>
    </xf>
    <xf numFmtId="0" fontId="8" fillId="12" borderId="23" xfId="0" applyFont="1" applyFill="1" applyBorder="1" applyAlignment="1">
      <alignment horizontal="right"/>
    </xf>
    <xf numFmtId="0" fontId="8" fillId="12" borderId="24" xfId="0" applyFont="1" applyFill="1" applyBorder="1" applyAlignment="1">
      <alignment horizontal="right"/>
    </xf>
    <xf numFmtId="0" fontId="6" fillId="12" borderId="30" xfId="0" applyFont="1" applyFill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6" fillId="12" borderId="34" xfId="0" applyFont="1" applyFill="1" applyBorder="1" applyAlignment="1">
      <alignment horizontal="center" vertical="center"/>
    </xf>
    <xf numFmtId="0" fontId="8" fillId="13" borderId="31" xfId="0" applyFont="1" applyFill="1" applyBorder="1" applyAlignment="1">
      <alignment horizontal="center" vertical="center"/>
    </xf>
    <xf numFmtId="0" fontId="8" fillId="13" borderId="33" xfId="0" applyFont="1" applyFill="1" applyBorder="1" applyAlignment="1">
      <alignment horizontal="center" vertical="center"/>
    </xf>
    <xf numFmtId="0" fontId="8" fillId="13" borderId="35" xfId="0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12" borderId="3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 wrapText="1"/>
    </xf>
    <xf numFmtId="0" fontId="6" fillId="4" borderId="23" xfId="0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8" fillId="10" borderId="20" xfId="0" applyFont="1" applyFill="1" applyBorder="1" applyAlignment="1">
      <alignment horizontal="center" vertical="center" wrapText="1"/>
    </xf>
    <xf numFmtId="164" fontId="8" fillId="19" borderId="1" xfId="0" applyNumberFormat="1" applyFont="1" applyFill="1" applyBorder="1" applyAlignment="1">
      <alignment horizontal="center" vertical="center"/>
    </xf>
    <xf numFmtId="164" fontId="8" fillId="18" borderId="22" xfId="0" applyNumberFormat="1" applyFont="1" applyFill="1" applyBorder="1" applyAlignment="1">
      <alignment horizontal="center" vertical="center"/>
    </xf>
    <xf numFmtId="164" fontId="8" fillId="19" borderId="2" xfId="0" applyNumberFormat="1" applyFont="1" applyFill="1" applyBorder="1" applyAlignment="1">
      <alignment horizontal="center" vertical="center"/>
    </xf>
    <xf numFmtId="164" fontId="8" fillId="19" borderId="6" xfId="0" applyNumberFormat="1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 wrapText="1"/>
    </xf>
    <xf numFmtId="164" fontId="10" fillId="19" borderId="1" xfId="0" applyNumberFormat="1" applyFont="1" applyFill="1" applyBorder="1" applyAlignment="1">
      <alignment horizontal="center" vertical="center"/>
    </xf>
    <xf numFmtId="164" fontId="10" fillId="19" borderId="24" xfId="0" applyNumberFormat="1" applyFont="1" applyFill="1" applyBorder="1" applyAlignment="1">
      <alignment horizontal="center" vertical="center"/>
    </xf>
    <xf numFmtId="164" fontId="10" fillId="18" borderId="22" xfId="0" applyNumberFormat="1" applyFont="1" applyFill="1" applyBorder="1" applyAlignment="1">
      <alignment horizontal="center" vertical="center"/>
    </xf>
    <xf numFmtId="164" fontId="10" fillId="18" borderId="25" xfId="0" applyNumberFormat="1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right"/>
    </xf>
    <xf numFmtId="0" fontId="8" fillId="14" borderId="10" xfId="0" applyFont="1" applyFill="1" applyBorder="1" applyAlignment="1">
      <alignment horizontal="right"/>
    </xf>
    <xf numFmtId="0" fontId="8" fillId="14" borderId="29" xfId="0" applyFont="1" applyFill="1" applyBorder="1" applyAlignment="1">
      <alignment horizontal="right"/>
    </xf>
    <xf numFmtId="0" fontId="8" fillId="3" borderId="3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15" borderId="36" xfId="0" applyFont="1" applyFill="1" applyBorder="1" applyAlignment="1">
      <alignment horizontal="right"/>
    </xf>
    <xf numFmtId="0" fontId="8" fillId="15" borderId="8" xfId="0" applyFont="1" applyFill="1" applyBorder="1" applyAlignment="1">
      <alignment horizontal="right"/>
    </xf>
    <xf numFmtId="0" fontId="8" fillId="15" borderId="7" xfId="0" applyFont="1" applyFill="1" applyBorder="1" applyAlignment="1">
      <alignment horizontal="right"/>
    </xf>
    <xf numFmtId="0" fontId="6" fillId="7" borderId="20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1E1"/>
      <color rgb="FFFFABAB"/>
      <color rgb="FFC4BD97"/>
      <color rgb="FFCCC0DA"/>
      <color rgb="FF76933C"/>
      <color rgb="FF02BE33"/>
      <color rgb="FFC49100"/>
      <color rgb="FFE4DFEC"/>
      <color rgb="FFB1DAED"/>
      <color rgb="FFB2D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EE77-16C0-4638-A06C-1BBDDCADEA7D}">
  <sheetPr>
    <tabColor rgb="FFFFFF00"/>
    <pageSetUpPr fitToPage="1"/>
  </sheetPr>
  <dimension ref="A1:J160"/>
  <sheetViews>
    <sheetView tabSelected="1" view="pageBreakPreview" zoomScale="115" zoomScaleNormal="115" zoomScaleSheetLayoutView="115" workbookViewId="0">
      <selection activeCell="H149" sqref="H149"/>
    </sheetView>
  </sheetViews>
  <sheetFormatPr defaultRowHeight="14.4" x14ac:dyDescent="0.3"/>
  <cols>
    <col min="1" max="1" width="4.44140625" style="2" bestFit="1" customWidth="1"/>
    <col min="2" max="2" width="59.44140625" style="106" bestFit="1" customWidth="1"/>
    <col min="3" max="3" width="24" style="3" bestFit="1" customWidth="1"/>
    <col min="4" max="5" width="15.6640625" style="3" customWidth="1"/>
    <col min="6" max="6" width="22" style="3" customWidth="1"/>
    <col min="7" max="7" width="24" bestFit="1" customWidth="1"/>
    <col min="8" max="8" width="19.5546875" customWidth="1"/>
  </cols>
  <sheetData>
    <row r="1" spans="1:6" ht="30" customHeight="1" x14ac:dyDescent="0.3">
      <c r="A1" s="107" t="s">
        <v>0</v>
      </c>
      <c r="B1" s="107"/>
      <c r="C1" s="107"/>
      <c r="D1" s="107"/>
      <c r="E1" s="107"/>
      <c r="F1" s="107"/>
    </row>
    <row r="2" spans="1:6" ht="15" customHeight="1" x14ac:dyDescent="0.3">
      <c r="A2" s="109" t="s">
        <v>1</v>
      </c>
      <c r="B2" s="109"/>
      <c r="C2" s="110" t="s">
        <v>217</v>
      </c>
      <c r="D2" s="110"/>
      <c r="E2" s="110"/>
      <c r="F2" s="110"/>
    </row>
    <row r="3" spans="1:6" ht="15" customHeight="1" x14ac:dyDescent="0.3">
      <c r="A3" s="109" t="s">
        <v>2</v>
      </c>
      <c r="B3" s="109"/>
      <c r="C3" s="110"/>
      <c r="D3" s="110"/>
      <c r="E3" s="110"/>
      <c r="F3" s="110"/>
    </row>
    <row r="4" spans="1:6" ht="15" customHeight="1" x14ac:dyDescent="0.3">
      <c r="A4" s="109" t="s">
        <v>3</v>
      </c>
      <c r="B4" s="109"/>
      <c r="C4" s="110"/>
      <c r="D4" s="110"/>
      <c r="E4" s="110"/>
      <c r="F4" s="110"/>
    </row>
    <row r="5" spans="1:6" ht="15" customHeight="1" x14ac:dyDescent="0.3">
      <c r="A5" s="109" t="s">
        <v>4</v>
      </c>
      <c r="B5" s="109"/>
      <c r="C5" s="110"/>
      <c r="D5" s="110"/>
      <c r="E5" s="110"/>
      <c r="F5" s="110"/>
    </row>
    <row r="6" spans="1:6" ht="15" customHeight="1" x14ac:dyDescent="0.3">
      <c r="A6" s="109" t="s">
        <v>5</v>
      </c>
      <c r="B6" s="109"/>
      <c r="C6" s="99">
        <v>140</v>
      </c>
      <c r="D6" s="99" t="s">
        <v>218</v>
      </c>
      <c r="E6" s="111">
        <v>2500</v>
      </c>
      <c r="F6" s="111"/>
    </row>
    <row r="7" spans="1:6" ht="15" customHeight="1" x14ac:dyDescent="0.3">
      <c r="A7" s="109" t="s">
        <v>17</v>
      </c>
      <c r="B7" s="109"/>
      <c r="C7" s="104" t="s">
        <v>15</v>
      </c>
      <c r="D7" s="100">
        <v>100</v>
      </c>
      <c r="E7" s="104" t="s">
        <v>16</v>
      </c>
      <c r="F7" s="100">
        <v>60</v>
      </c>
    </row>
    <row r="8" spans="1:6" ht="15" customHeight="1" x14ac:dyDescent="0.3">
      <c r="A8" s="109" t="s">
        <v>6</v>
      </c>
      <c r="B8" s="109"/>
      <c r="C8" s="104" t="s">
        <v>7</v>
      </c>
      <c r="D8" s="104" t="s">
        <v>8</v>
      </c>
      <c r="E8" s="104" t="s">
        <v>9</v>
      </c>
      <c r="F8" s="104" t="s">
        <v>8</v>
      </c>
    </row>
    <row r="9" spans="1:6" ht="20.100000000000001" customHeight="1" x14ac:dyDescent="0.3">
      <c r="A9" s="109"/>
      <c r="B9" s="109"/>
      <c r="C9" s="100" t="s">
        <v>219</v>
      </c>
      <c r="D9" s="101">
        <v>46293</v>
      </c>
      <c r="E9" s="102" t="s">
        <v>236</v>
      </c>
      <c r="F9" s="101">
        <v>46293</v>
      </c>
    </row>
    <row r="10" spans="1:6" ht="9.9" customHeight="1" x14ac:dyDescent="0.3">
      <c r="A10" s="1"/>
      <c r="B10" s="98"/>
      <c r="C10" s="1"/>
      <c r="D10" s="1"/>
      <c r="E10" s="1"/>
      <c r="F10" s="1"/>
    </row>
    <row r="11" spans="1:6" ht="30" customHeight="1" x14ac:dyDescent="0.3">
      <c r="A11" s="105" t="s">
        <v>10</v>
      </c>
      <c r="B11" s="105" t="s">
        <v>18</v>
      </c>
      <c r="C11" s="105" t="s">
        <v>11</v>
      </c>
      <c r="D11" s="105" t="s">
        <v>12</v>
      </c>
      <c r="E11" s="105" t="s">
        <v>13</v>
      </c>
      <c r="F11" s="105" t="s">
        <v>14</v>
      </c>
    </row>
    <row r="12" spans="1:6" ht="15" customHeight="1" x14ac:dyDescent="0.3">
      <c r="A12" s="174">
        <v>1</v>
      </c>
      <c r="B12" s="175" t="s">
        <v>20</v>
      </c>
      <c r="C12" s="176" t="s">
        <v>19</v>
      </c>
      <c r="D12" s="177">
        <v>29</v>
      </c>
      <c r="E12" s="177">
        <v>850</v>
      </c>
      <c r="F12" s="177" t="s">
        <v>21</v>
      </c>
    </row>
    <row r="13" spans="1:6" ht="15" customHeight="1" x14ac:dyDescent="0.3">
      <c r="A13" s="174">
        <v>2</v>
      </c>
      <c r="B13" s="175" t="s">
        <v>235</v>
      </c>
      <c r="C13" s="176" t="s">
        <v>19</v>
      </c>
      <c r="D13" s="177">
        <v>6</v>
      </c>
      <c r="E13" s="177">
        <v>150</v>
      </c>
      <c r="F13" s="177" t="s">
        <v>21</v>
      </c>
    </row>
    <row r="14" spans="1:6" x14ac:dyDescent="0.3">
      <c r="A14" s="176">
        <v>3</v>
      </c>
      <c r="B14" s="175" t="s">
        <v>35</v>
      </c>
      <c r="C14" s="176" t="s">
        <v>19</v>
      </c>
      <c r="D14" s="177">
        <v>3</v>
      </c>
      <c r="E14" s="177"/>
      <c r="F14" s="177"/>
    </row>
    <row r="15" spans="1:6" x14ac:dyDescent="0.3">
      <c r="A15" s="108" t="s">
        <v>22</v>
      </c>
      <c r="B15" s="108"/>
      <c r="C15" s="108"/>
      <c r="D15" s="103">
        <f>SUM(D12:D13)</f>
        <v>35</v>
      </c>
      <c r="E15" s="103">
        <f>SUM(E12:E13)</f>
        <v>1000</v>
      </c>
      <c r="F15" s="103"/>
    </row>
    <row r="16" spans="1:6" ht="30" customHeight="1" x14ac:dyDescent="0.3">
      <c r="A16" s="105" t="s">
        <v>10</v>
      </c>
      <c r="B16" s="105" t="s">
        <v>118</v>
      </c>
      <c r="C16" s="105" t="s">
        <v>11</v>
      </c>
      <c r="D16" s="105" t="s">
        <v>12</v>
      </c>
      <c r="E16" s="105" t="s">
        <v>13</v>
      </c>
      <c r="F16" s="105"/>
    </row>
    <row r="17" spans="1:6" ht="15.75" customHeight="1" x14ac:dyDescent="0.3">
      <c r="A17" s="174">
        <v>1</v>
      </c>
      <c r="B17" s="178" t="s">
        <v>119</v>
      </c>
      <c r="C17" s="179" t="s">
        <v>120</v>
      </c>
      <c r="D17" s="177">
        <v>21</v>
      </c>
      <c r="E17" s="177"/>
      <c r="F17" s="177"/>
    </row>
    <row r="18" spans="1:6" ht="15.75" customHeight="1" x14ac:dyDescent="0.3">
      <c r="A18" s="174">
        <v>2</v>
      </c>
      <c r="B18" s="178" t="s">
        <v>119</v>
      </c>
      <c r="C18" s="179" t="s">
        <v>221</v>
      </c>
      <c r="D18" s="177">
        <v>1</v>
      </c>
      <c r="E18" s="177"/>
      <c r="F18" s="177"/>
    </row>
    <row r="19" spans="1:6" ht="15.75" customHeight="1" x14ac:dyDescent="0.3">
      <c r="A19" s="174">
        <v>3</v>
      </c>
      <c r="B19" s="178" t="s">
        <v>119</v>
      </c>
      <c r="C19" s="179" t="s">
        <v>222</v>
      </c>
      <c r="D19" s="177">
        <v>2</v>
      </c>
      <c r="E19" s="177"/>
      <c r="F19" s="177"/>
    </row>
    <row r="20" spans="1:6" ht="15.75" customHeight="1" x14ac:dyDescent="0.3">
      <c r="A20" s="174">
        <v>4</v>
      </c>
      <c r="B20" s="178" t="s">
        <v>119</v>
      </c>
      <c r="C20" s="179" t="s">
        <v>223</v>
      </c>
      <c r="D20" s="177">
        <v>2</v>
      </c>
      <c r="E20" s="177"/>
      <c r="F20" s="177"/>
    </row>
    <row r="21" spans="1:6" ht="15.75" customHeight="1" x14ac:dyDescent="0.3">
      <c r="A21" s="174">
        <v>5</v>
      </c>
      <c r="B21" s="178" t="s">
        <v>119</v>
      </c>
      <c r="C21" s="179" t="s">
        <v>121</v>
      </c>
      <c r="D21" s="177">
        <v>7</v>
      </c>
      <c r="E21" s="177"/>
      <c r="F21" s="177"/>
    </row>
    <row r="22" spans="1:6" ht="15.75" customHeight="1" x14ac:dyDescent="0.3">
      <c r="A22" s="174">
        <v>6</v>
      </c>
      <c r="B22" s="178" t="s">
        <v>119</v>
      </c>
      <c r="C22" s="179" t="s">
        <v>224</v>
      </c>
      <c r="D22" s="177">
        <v>1</v>
      </c>
      <c r="E22" s="177"/>
      <c r="F22" s="177"/>
    </row>
    <row r="23" spans="1:6" ht="15.75" customHeight="1" x14ac:dyDescent="0.3">
      <c r="A23" s="174">
        <v>7</v>
      </c>
      <c r="B23" s="178" t="s">
        <v>122</v>
      </c>
      <c r="C23" s="179" t="s">
        <v>120</v>
      </c>
      <c r="D23" s="177">
        <v>3</v>
      </c>
      <c r="E23" s="177"/>
      <c r="F23" s="177"/>
    </row>
    <row r="24" spans="1:6" ht="15.75" customHeight="1" x14ac:dyDescent="0.3">
      <c r="A24" s="174">
        <v>8</v>
      </c>
      <c r="B24" s="178" t="s">
        <v>123</v>
      </c>
      <c r="C24" s="179" t="s">
        <v>124</v>
      </c>
      <c r="D24" s="177">
        <v>13</v>
      </c>
      <c r="E24" s="177"/>
      <c r="F24" s="177"/>
    </row>
    <row r="25" spans="1:6" ht="15.75" customHeight="1" x14ac:dyDescent="0.3">
      <c r="A25" s="174">
        <v>9</v>
      </c>
      <c r="B25" s="178" t="s">
        <v>123</v>
      </c>
      <c r="C25" s="179" t="s">
        <v>225</v>
      </c>
      <c r="D25" s="177">
        <v>7</v>
      </c>
      <c r="E25" s="177"/>
      <c r="F25" s="177"/>
    </row>
    <row r="26" spans="1:6" ht="15.75" customHeight="1" x14ac:dyDescent="0.3">
      <c r="A26" s="174">
        <v>10</v>
      </c>
      <c r="B26" s="178" t="s">
        <v>123</v>
      </c>
      <c r="C26" s="179" t="s">
        <v>226</v>
      </c>
      <c r="D26" s="177">
        <v>1</v>
      </c>
      <c r="E26" s="177"/>
      <c r="F26" s="177"/>
    </row>
    <row r="27" spans="1:6" ht="15.75" customHeight="1" x14ac:dyDescent="0.3">
      <c r="A27" s="174">
        <v>11</v>
      </c>
      <c r="B27" s="178" t="s">
        <v>123</v>
      </c>
      <c r="C27" s="179" t="s">
        <v>228</v>
      </c>
      <c r="D27" s="177">
        <v>1</v>
      </c>
      <c r="E27" s="177"/>
      <c r="F27" s="177"/>
    </row>
    <row r="28" spans="1:6" ht="15.75" customHeight="1" x14ac:dyDescent="0.3">
      <c r="A28" s="174">
        <v>12</v>
      </c>
      <c r="B28" s="178" t="s">
        <v>123</v>
      </c>
      <c r="C28" s="179" t="s">
        <v>125</v>
      </c>
      <c r="D28" s="177">
        <v>6</v>
      </c>
      <c r="E28" s="177"/>
      <c r="F28" s="177"/>
    </row>
    <row r="29" spans="1:6" ht="15.75" customHeight="1" x14ac:dyDescent="0.3">
      <c r="A29" s="174">
        <v>13</v>
      </c>
      <c r="B29" s="178" t="s">
        <v>123</v>
      </c>
      <c r="C29" s="179" t="s">
        <v>227</v>
      </c>
      <c r="D29" s="177">
        <v>2</v>
      </c>
      <c r="E29" s="177"/>
      <c r="F29" s="177"/>
    </row>
    <row r="30" spans="1:6" ht="15.75" customHeight="1" x14ac:dyDescent="0.3">
      <c r="A30" s="174">
        <v>14</v>
      </c>
      <c r="B30" s="178" t="s">
        <v>123</v>
      </c>
      <c r="C30" s="179" t="s">
        <v>229</v>
      </c>
      <c r="D30" s="177">
        <v>1</v>
      </c>
      <c r="E30" s="177"/>
      <c r="F30" s="177"/>
    </row>
    <row r="31" spans="1:6" ht="15.75" customHeight="1" x14ac:dyDescent="0.3">
      <c r="A31" s="174">
        <v>15</v>
      </c>
      <c r="B31" s="178" t="s">
        <v>123</v>
      </c>
      <c r="C31" s="179" t="s">
        <v>230</v>
      </c>
      <c r="D31" s="177">
        <v>1</v>
      </c>
      <c r="E31" s="177"/>
      <c r="F31" s="177"/>
    </row>
    <row r="32" spans="1:6" ht="15.75" customHeight="1" x14ac:dyDescent="0.3">
      <c r="A32" s="174">
        <v>16</v>
      </c>
      <c r="B32" s="178" t="s">
        <v>123</v>
      </c>
      <c r="C32" s="179" t="s">
        <v>231</v>
      </c>
      <c r="D32" s="177">
        <v>1</v>
      </c>
      <c r="E32" s="177"/>
      <c r="F32" s="177"/>
    </row>
    <row r="33" spans="1:7" ht="15.75" customHeight="1" x14ac:dyDescent="0.3">
      <c r="A33" s="174">
        <v>17</v>
      </c>
      <c r="B33" s="178" t="s">
        <v>126</v>
      </c>
      <c r="C33" s="179" t="s">
        <v>127</v>
      </c>
      <c r="D33" s="177">
        <v>5</v>
      </c>
      <c r="E33" s="177"/>
      <c r="F33" s="177"/>
    </row>
    <row r="34" spans="1:7" ht="15.75" customHeight="1" x14ac:dyDescent="0.3">
      <c r="A34" s="174">
        <v>18</v>
      </c>
      <c r="B34" s="178" t="s">
        <v>128</v>
      </c>
      <c r="C34" s="179" t="s">
        <v>129</v>
      </c>
      <c r="D34" s="177">
        <v>3</v>
      </c>
      <c r="E34" s="177"/>
      <c r="F34" s="177"/>
    </row>
    <row r="35" spans="1:7" ht="15.75" customHeight="1" x14ac:dyDescent="0.3">
      <c r="A35" s="174">
        <v>19</v>
      </c>
      <c r="B35" s="178" t="s">
        <v>130</v>
      </c>
      <c r="C35" s="179" t="s">
        <v>131</v>
      </c>
      <c r="D35" s="177">
        <v>2</v>
      </c>
      <c r="E35" s="177"/>
      <c r="F35" s="177"/>
    </row>
    <row r="36" spans="1:7" ht="30" customHeight="1" x14ac:dyDescent="0.3">
      <c r="A36" s="105" t="s">
        <v>10</v>
      </c>
      <c r="B36" s="105" t="s">
        <v>155</v>
      </c>
      <c r="C36" s="105" t="s">
        <v>11</v>
      </c>
      <c r="D36" s="105" t="s">
        <v>12</v>
      </c>
      <c r="E36" s="105"/>
      <c r="F36" s="105"/>
    </row>
    <row r="37" spans="1:7" ht="15.75" customHeight="1" x14ac:dyDescent="0.3">
      <c r="A37" s="174">
        <v>1</v>
      </c>
      <c r="B37" s="178" t="s">
        <v>132</v>
      </c>
      <c r="C37" s="179" t="s">
        <v>120</v>
      </c>
      <c r="D37" s="177">
        <v>1</v>
      </c>
      <c r="E37" s="177"/>
      <c r="F37" s="177"/>
    </row>
    <row r="38" spans="1:7" ht="15.75" customHeight="1" x14ac:dyDescent="0.3">
      <c r="A38" s="174">
        <v>2</v>
      </c>
      <c r="B38" s="178" t="s">
        <v>133</v>
      </c>
      <c r="C38" s="179" t="s">
        <v>124</v>
      </c>
      <c r="D38" s="177">
        <v>8</v>
      </c>
      <c r="E38" s="177"/>
      <c r="F38" s="177"/>
    </row>
    <row r="39" spans="1:7" ht="15.75" customHeight="1" x14ac:dyDescent="0.3">
      <c r="A39" s="174">
        <v>3</v>
      </c>
      <c r="B39" s="178" t="s">
        <v>133</v>
      </c>
      <c r="C39" s="179" t="s">
        <v>220</v>
      </c>
      <c r="D39" s="177">
        <v>1</v>
      </c>
      <c r="E39" s="177"/>
      <c r="F39" s="177"/>
    </row>
    <row r="40" spans="1:7" ht="30" customHeight="1" x14ac:dyDescent="0.3">
      <c r="A40" s="105" t="s">
        <v>10</v>
      </c>
      <c r="B40" s="105" t="s">
        <v>23</v>
      </c>
      <c r="C40" s="105" t="s">
        <v>11</v>
      </c>
      <c r="D40" s="105" t="s">
        <v>12</v>
      </c>
      <c r="E40" s="105"/>
      <c r="F40" s="105"/>
    </row>
    <row r="41" spans="1:7" x14ac:dyDescent="0.3">
      <c r="A41" s="174">
        <v>1</v>
      </c>
      <c r="B41" s="178" t="s">
        <v>134</v>
      </c>
      <c r="C41" s="179" t="s">
        <v>135</v>
      </c>
      <c r="D41" s="177">
        <v>3</v>
      </c>
      <c r="E41" s="177"/>
      <c r="F41" s="177"/>
      <c r="G41" t="s">
        <v>243</v>
      </c>
    </row>
    <row r="42" spans="1:7" x14ac:dyDescent="0.3">
      <c r="A42" s="180">
        <v>2</v>
      </c>
      <c r="B42" s="181" t="s">
        <v>271</v>
      </c>
      <c r="C42" s="182" t="s">
        <v>135</v>
      </c>
      <c r="D42" s="180">
        <v>1</v>
      </c>
      <c r="E42" s="180"/>
      <c r="F42" s="180"/>
    </row>
    <row r="43" spans="1:7" x14ac:dyDescent="0.3">
      <c r="A43" s="180">
        <v>3</v>
      </c>
      <c r="B43" s="181" t="s">
        <v>272</v>
      </c>
      <c r="C43" s="182" t="s">
        <v>135</v>
      </c>
      <c r="D43" s="180">
        <v>1</v>
      </c>
      <c r="E43" s="180"/>
      <c r="F43" s="180"/>
    </row>
    <row r="44" spans="1:7" x14ac:dyDescent="0.3">
      <c r="A44" s="180">
        <v>4</v>
      </c>
      <c r="B44" s="181" t="s">
        <v>273</v>
      </c>
      <c r="C44" s="182" t="s">
        <v>135</v>
      </c>
      <c r="D44" s="180">
        <v>1</v>
      </c>
      <c r="E44" s="180"/>
      <c r="F44" s="180"/>
    </row>
    <row r="45" spans="1:7" x14ac:dyDescent="0.3">
      <c r="A45" s="174">
        <v>5</v>
      </c>
      <c r="B45" s="178" t="s">
        <v>134</v>
      </c>
      <c r="C45" s="179" t="s">
        <v>136</v>
      </c>
      <c r="D45" s="177">
        <v>4</v>
      </c>
      <c r="E45" s="177"/>
      <c r="F45" s="177"/>
    </row>
    <row r="46" spans="1:7" x14ac:dyDescent="0.3">
      <c r="A46" s="174">
        <v>6</v>
      </c>
      <c r="B46" s="178" t="s">
        <v>25</v>
      </c>
      <c r="C46" s="179" t="s">
        <v>27</v>
      </c>
      <c r="D46" s="177">
        <v>5</v>
      </c>
      <c r="E46" s="177"/>
      <c r="F46" s="177"/>
    </row>
    <row r="47" spans="1:7" x14ac:dyDescent="0.3">
      <c r="A47" s="174">
        <v>7</v>
      </c>
      <c r="B47" s="178" t="s">
        <v>274</v>
      </c>
      <c r="C47" s="179" t="s">
        <v>233</v>
      </c>
      <c r="D47" s="177">
        <v>1</v>
      </c>
      <c r="E47" s="177"/>
      <c r="F47" s="177"/>
    </row>
    <row r="48" spans="1:7" x14ac:dyDescent="0.3">
      <c r="A48" s="174">
        <v>8</v>
      </c>
      <c r="B48" s="178" t="s">
        <v>274</v>
      </c>
      <c r="C48" s="179" t="s">
        <v>234</v>
      </c>
      <c r="D48" s="177">
        <v>1</v>
      </c>
      <c r="E48" s="177"/>
      <c r="F48" s="177"/>
    </row>
    <row r="49" spans="1:7" x14ac:dyDescent="0.3">
      <c r="A49" s="174">
        <v>9</v>
      </c>
      <c r="B49" s="178" t="s">
        <v>274</v>
      </c>
      <c r="C49" s="179" t="s">
        <v>232</v>
      </c>
      <c r="D49" s="177">
        <v>2</v>
      </c>
      <c r="E49" s="177"/>
      <c r="F49" s="177"/>
    </row>
    <row r="50" spans="1:7" x14ac:dyDescent="0.3">
      <c r="A50" s="180">
        <v>10</v>
      </c>
      <c r="B50" s="181" t="s">
        <v>268</v>
      </c>
      <c r="C50" s="182" t="s">
        <v>39</v>
      </c>
      <c r="D50" s="180">
        <v>1</v>
      </c>
      <c r="E50" s="180"/>
      <c r="F50" s="180"/>
    </row>
    <row r="51" spans="1:7" x14ac:dyDescent="0.3">
      <c r="A51" s="180">
        <v>11</v>
      </c>
      <c r="B51" s="181" t="s">
        <v>269</v>
      </c>
      <c r="C51" s="182" t="s">
        <v>39</v>
      </c>
      <c r="D51" s="180">
        <v>1</v>
      </c>
      <c r="E51" s="180"/>
      <c r="F51" s="180"/>
    </row>
    <row r="52" spans="1:7" x14ac:dyDescent="0.3">
      <c r="A52" s="174">
        <v>12</v>
      </c>
      <c r="B52" s="178" t="s">
        <v>137</v>
      </c>
      <c r="C52" s="179" t="s">
        <v>12</v>
      </c>
      <c r="D52" s="177">
        <v>2</v>
      </c>
      <c r="E52" s="177"/>
      <c r="F52" s="177"/>
    </row>
    <row r="53" spans="1:7" x14ac:dyDescent="0.3">
      <c r="A53" s="174">
        <v>13</v>
      </c>
      <c r="B53" s="178" t="s">
        <v>138</v>
      </c>
      <c r="C53" s="179" t="s">
        <v>39</v>
      </c>
      <c r="D53" s="177">
        <v>24</v>
      </c>
      <c r="E53" s="177"/>
      <c r="F53" s="177"/>
    </row>
    <row r="54" spans="1:7" x14ac:dyDescent="0.3">
      <c r="A54" s="174">
        <v>14</v>
      </c>
      <c r="B54" s="178" t="s">
        <v>139</v>
      </c>
      <c r="C54" s="179" t="s">
        <v>39</v>
      </c>
      <c r="D54" s="177">
        <v>8</v>
      </c>
      <c r="E54" s="177"/>
      <c r="F54" s="177"/>
    </row>
    <row r="55" spans="1:7" x14ac:dyDescent="0.3">
      <c r="A55" s="174">
        <v>15</v>
      </c>
      <c r="B55" s="178" t="s">
        <v>140</v>
      </c>
      <c r="C55" s="179" t="s">
        <v>40</v>
      </c>
      <c r="D55" s="177">
        <v>20</v>
      </c>
      <c r="E55" s="177"/>
      <c r="F55" s="177"/>
    </row>
    <row r="56" spans="1:7" x14ac:dyDescent="0.3">
      <c r="A56" s="174">
        <v>16</v>
      </c>
      <c r="B56" s="178" t="s">
        <v>153</v>
      </c>
      <c r="C56" s="179" t="s">
        <v>41</v>
      </c>
      <c r="D56" s="177">
        <v>4</v>
      </c>
      <c r="E56" s="177"/>
      <c r="F56" s="177"/>
    </row>
    <row r="57" spans="1:7" x14ac:dyDescent="0.3">
      <c r="A57" s="180">
        <v>17</v>
      </c>
      <c r="B57" s="181" t="s">
        <v>270</v>
      </c>
      <c r="C57" s="182" t="s">
        <v>41</v>
      </c>
      <c r="D57" s="180">
        <v>1</v>
      </c>
      <c r="E57" s="180"/>
      <c r="F57" s="180"/>
    </row>
    <row r="58" spans="1:7" x14ac:dyDescent="0.3">
      <c r="A58" s="174">
        <v>18</v>
      </c>
      <c r="B58" s="178" t="s">
        <v>141</v>
      </c>
      <c r="C58" s="179" t="s">
        <v>42</v>
      </c>
      <c r="D58" s="177">
        <v>8</v>
      </c>
      <c r="E58" s="177"/>
      <c r="F58" s="177"/>
    </row>
    <row r="59" spans="1:7" x14ac:dyDescent="0.3">
      <c r="A59" s="174">
        <v>19</v>
      </c>
      <c r="B59" s="178" t="s">
        <v>142</v>
      </c>
      <c r="C59" s="183" t="s">
        <v>44</v>
      </c>
      <c r="D59" s="177">
        <v>7</v>
      </c>
      <c r="E59" s="177"/>
      <c r="F59" s="177"/>
    </row>
    <row r="60" spans="1:7" x14ac:dyDescent="0.3">
      <c r="A60" s="174">
        <v>20</v>
      </c>
      <c r="B60" s="178" t="s">
        <v>143</v>
      </c>
      <c r="C60" s="183" t="s">
        <v>43</v>
      </c>
      <c r="D60" s="177">
        <v>2</v>
      </c>
      <c r="E60" s="177"/>
      <c r="F60" s="177"/>
    </row>
    <row r="61" spans="1:7" x14ac:dyDescent="0.3">
      <c r="A61" s="174">
        <v>21</v>
      </c>
      <c r="B61" s="178" t="s">
        <v>144</v>
      </c>
      <c r="C61" s="179" t="s">
        <v>27</v>
      </c>
      <c r="D61" s="177">
        <v>2</v>
      </c>
      <c r="E61" s="177"/>
      <c r="F61" s="177"/>
    </row>
    <row r="62" spans="1:7" ht="27.6" x14ac:dyDescent="0.3">
      <c r="A62" s="180">
        <v>22</v>
      </c>
      <c r="B62" s="181" t="s">
        <v>266</v>
      </c>
      <c r="C62" s="182" t="s">
        <v>264</v>
      </c>
      <c r="D62" s="180">
        <v>3</v>
      </c>
      <c r="E62" s="180"/>
      <c r="F62" s="180"/>
    </row>
    <row r="63" spans="1:7" ht="27.6" x14ac:dyDescent="0.3">
      <c r="A63" s="180">
        <v>23</v>
      </c>
      <c r="B63" s="181" t="s">
        <v>267</v>
      </c>
      <c r="C63" s="182" t="s">
        <v>265</v>
      </c>
      <c r="D63" s="180">
        <v>2</v>
      </c>
      <c r="E63" s="180"/>
      <c r="F63" s="180"/>
    </row>
    <row r="64" spans="1:7" x14ac:dyDescent="0.3">
      <c r="A64" s="174">
        <v>24</v>
      </c>
      <c r="B64" s="178" t="s">
        <v>145</v>
      </c>
      <c r="C64" s="183" t="s">
        <v>146</v>
      </c>
      <c r="D64" s="177">
        <v>46</v>
      </c>
      <c r="E64" s="177"/>
      <c r="F64" s="177"/>
      <c r="G64" t="s">
        <v>263</v>
      </c>
    </row>
    <row r="65" spans="1:7" x14ac:dyDescent="0.3">
      <c r="A65" s="174">
        <v>25</v>
      </c>
      <c r="B65" s="178" t="s">
        <v>147</v>
      </c>
      <c r="C65" s="183" t="s">
        <v>29</v>
      </c>
      <c r="D65" s="177">
        <v>6</v>
      </c>
      <c r="E65" s="177"/>
      <c r="F65" s="177"/>
      <c r="G65">
        <f>13.72/2.5</f>
        <v>5.4880000000000004</v>
      </c>
    </row>
    <row r="66" spans="1:7" x14ac:dyDescent="0.3">
      <c r="A66" s="174">
        <v>26</v>
      </c>
      <c r="B66" s="178" t="s">
        <v>30</v>
      </c>
      <c r="C66" s="183" t="s">
        <v>29</v>
      </c>
      <c r="D66" s="177">
        <v>20</v>
      </c>
      <c r="E66" s="177"/>
      <c r="F66" s="177"/>
      <c r="G66">
        <f>48/2.5</f>
        <v>19.2</v>
      </c>
    </row>
    <row r="67" spans="1:7" ht="15.75" customHeight="1" x14ac:dyDescent="0.3">
      <c r="A67" s="174">
        <v>27</v>
      </c>
      <c r="B67" s="178" t="s">
        <v>244</v>
      </c>
      <c r="C67" s="183" t="s">
        <v>148</v>
      </c>
      <c r="D67" s="177">
        <v>23</v>
      </c>
      <c r="E67" s="177"/>
      <c r="F67" s="177"/>
      <c r="G67">
        <f>50.4/2.3</f>
        <v>21.913043478260871</v>
      </c>
    </row>
    <row r="68" spans="1:7" x14ac:dyDescent="0.3">
      <c r="A68" s="174">
        <v>28</v>
      </c>
      <c r="B68" s="178" t="s">
        <v>149</v>
      </c>
      <c r="C68" s="183" t="s">
        <v>150</v>
      </c>
      <c r="D68" s="177">
        <v>13</v>
      </c>
      <c r="E68" s="177"/>
      <c r="F68" s="177"/>
      <c r="G68">
        <f>48/3.75</f>
        <v>12.8</v>
      </c>
    </row>
    <row r="69" spans="1:7" x14ac:dyDescent="0.3">
      <c r="A69" s="174">
        <v>29</v>
      </c>
      <c r="B69" s="178" t="s">
        <v>151</v>
      </c>
      <c r="C69" s="183" t="s">
        <v>152</v>
      </c>
      <c r="D69" s="177">
        <v>19</v>
      </c>
      <c r="E69" s="177"/>
      <c r="F69" s="177"/>
      <c r="G69">
        <f>43.63/2.5</f>
        <v>17.452000000000002</v>
      </c>
    </row>
    <row r="70" spans="1:7" x14ac:dyDescent="0.3">
      <c r="A70" s="174">
        <v>30</v>
      </c>
      <c r="B70" s="178" t="s">
        <v>26</v>
      </c>
      <c r="C70" s="183" t="s">
        <v>24</v>
      </c>
      <c r="D70" s="177">
        <v>81</v>
      </c>
      <c r="E70" s="177"/>
      <c r="F70" s="177"/>
      <c r="G70">
        <f>308.21/4.1+5</f>
        <v>80.173170731707316</v>
      </c>
    </row>
    <row r="71" spans="1:7" ht="30" customHeight="1" x14ac:dyDescent="0.3">
      <c r="A71" s="105" t="s">
        <v>10</v>
      </c>
      <c r="B71" s="105" t="s">
        <v>31</v>
      </c>
      <c r="C71" s="105" t="s">
        <v>32</v>
      </c>
      <c r="D71" s="105" t="s">
        <v>12</v>
      </c>
      <c r="E71" s="105"/>
      <c r="F71" s="105"/>
    </row>
    <row r="72" spans="1:7" x14ac:dyDescent="0.3">
      <c r="A72" s="174">
        <v>1</v>
      </c>
      <c r="B72" s="184" t="s">
        <v>36</v>
      </c>
      <c r="C72" s="174" t="s">
        <v>28</v>
      </c>
      <c r="D72" s="177">
        <v>9</v>
      </c>
      <c r="E72" s="177"/>
      <c r="F72" s="177"/>
      <c r="G72">
        <f>22.47*1.08/(1.2*2.4)</f>
        <v>8.4262500000000014</v>
      </c>
    </row>
    <row r="73" spans="1:7" ht="30" customHeight="1" x14ac:dyDescent="0.3">
      <c r="A73" s="105" t="s">
        <v>10</v>
      </c>
      <c r="B73" s="105" t="s">
        <v>58</v>
      </c>
      <c r="C73" s="105" t="s">
        <v>32</v>
      </c>
      <c r="D73" s="105" t="s">
        <v>12</v>
      </c>
      <c r="E73" s="105"/>
      <c r="F73" s="105"/>
    </row>
    <row r="74" spans="1:7" x14ac:dyDescent="0.3">
      <c r="A74" s="174">
        <v>1</v>
      </c>
      <c r="B74" s="184" t="s">
        <v>57</v>
      </c>
      <c r="C74" s="174" t="s">
        <v>38</v>
      </c>
      <c r="D74" s="177">
        <v>36</v>
      </c>
      <c r="E74" s="177"/>
      <c r="F74" s="177"/>
      <c r="G74">
        <f>98.16*1.05/(1.2*2.5)</f>
        <v>34.356000000000002</v>
      </c>
    </row>
    <row r="75" spans="1:7" x14ac:dyDescent="0.3">
      <c r="A75" s="174">
        <v>2</v>
      </c>
      <c r="B75" s="184" t="s">
        <v>215</v>
      </c>
      <c r="C75" s="174" t="s">
        <v>28</v>
      </c>
      <c r="D75" s="177">
        <v>26</v>
      </c>
      <c r="E75" s="177"/>
      <c r="F75" s="177"/>
      <c r="G75">
        <f>(29.04*2.7-(3*0.6*0.4+4*0.9*2.14))*1.05/(1.2*2.4)</f>
        <v>25.515000000000001</v>
      </c>
    </row>
    <row r="76" spans="1:7" x14ac:dyDescent="0.3">
      <c r="A76" s="174">
        <v>3</v>
      </c>
      <c r="B76" s="184" t="s">
        <v>216</v>
      </c>
      <c r="C76" s="174" t="s">
        <v>28</v>
      </c>
      <c r="D76" s="177">
        <v>5</v>
      </c>
      <c r="E76" s="177"/>
      <c r="F76" s="177"/>
      <c r="G76">
        <f>11.98*1.05/(1.2*2.4)</f>
        <v>4.3677083333333337</v>
      </c>
    </row>
    <row r="77" spans="1:7" ht="30" customHeight="1" x14ac:dyDescent="0.3">
      <c r="A77" s="105" t="s">
        <v>10</v>
      </c>
      <c r="B77" s="105" t="s">
        <v>37</v>
      </c>
      <c r="C77" s="105" t="s">
        <v>32</v>
      </c>
      <c r="D77" s="105" t="s">
        <v>12</v>
      </c>
      <c r="E77" s="105"/>
      <c r="F77" s="105"/>
    </row>
    <row r="78" spans="1:7" x14ac:dyDescent="0.3">
      <c r="A78" s="185">
        <v>1</v>
      </c>
      <c r="B78" s="184" t="s">
        <v>245</v>
      </c>
      <c r="C78" s="174">
        <v>5750</v>
      </c>
      <c r="D78" s="177">
        <v>27</v>
      </c>
      <c r="E78" s="177"/>
      <c r="F78" s="177"/>
    </row>
    <row r="79" spans="1:7" x14ac:dyDescent="0.3">
      <c r="A79" s="185">
        <v>2</v>
      </c>
      <c r="B79" s="184" t="s">
        <v>245</v>
      </c>
      <c r="C79" s="174">
        <v>5250</v>
      </c>
      <c r="D79" s="177">
        <v>6</v>
      </c>
      <c r="E79" s="177"/>
      <c r="F79" s="177"/>
    </row>
    <row r="80" spans="1:7" x14ac:dyDescent="0.3">
      <c r="A80" s="185">
        <v>3</v>
      </c>
      <c r="B80" s="184" t="s">
        <v>246</v>
      </c>
      <c r="C80" s="174">
        <v>2800</v>
      </c>
      <c r="D80" s="177">
        <v>14</v>
      </c>
      <c r="E80" s="177"/>
      <c r="F80" s="177"/>
      <c r="G80">
        <f>34.66/2.6</f>
        <v>13.33076923076923</v>
      </c>
    </row>
    <row r="81" spans="1:7" x14ac:dyDescent="0.3">
      <c r="A81" s="185">
        <v>4</v>
      </c>
      <c r="B81" s="184" t="s">
        <v>247</v>
      </c>
      <c r="C81" s="174">
        <v>2800</v>
      </c>
      <c r="D81" s="177">
        <v>20</v>
      </c>
      <c r="E81" s="186"/>
      <c r="F81" s="177"/>
      <c r="G81">
        <f>50.4/2.6</f>
        <v>19.384615384615383</v>
      </c>
    </row>
    <row r="82" spans="1:7" x14ac:dyDescent="0.3">
      <c r="A82" s="185">
        <v>5</v>
      </c>
      <c r="B82" s="184" t="s">
        <v>60</v>
      </c>
      <c r="C82" s="174" t="s">
        <v>12</v>
      </c>
      <c r="D82" s="177">
        <v>4</v>
      </c>
      <c r="E82" s="177"/>
      <c r="F82" s="177"/>
      <c r="G82">
        <f>D80*2.8/10</f>
        <v>3.9199999999999995</v>
      </c>
    </row>
    <row r="83" spans="1:7" x14ac:dyDescent="0.3">
      <c r="A83" s="185">
        <v>6</v>
      </c>
      <c r="B83" s="184" t="s">
        <v>248</v>
      </c>
      <c r="C83" s="174" t="s">
        <v>249</v>
      </c>
      <c r="D83" s="177">
        <v>15</v>
      </c>
      <c r="E83" s="177"/>
      <c r="F83" s="177"/>
      <c r="G83">
        <f>143.63/9.6</f>
        <v>14.961458333333333</v>
      </c>
    </row>
    <row r="84" spans="1:7" ht="30" customHeight="1" x14ac:dyDescent="0.3">
      <c r="A84" s="105" t="s">
        <v>10</v>
      </c>
      <c r="B84" s="105" t="s">
        <v>59</v>
      </c>
      <c r="C84" s="105" t="s">
        <v>32</v>
      </c>
      <c r="D84" s="105" t="s">
        <v>12</v>
      </c>
      <c r="E84" s="105"/>
      <c r="F84" s="105"/>
    </row>
    <row r="85" spans="1:7" x14ac:dyDescent="0.3">
      <c r="A85" s="185">
        <v>1</v>
      </c>
      <c r="B85" s="184" t="s">
        <v>250</v>
      </c>
      <c r="C85" s="174" t="s">
        <v>213</v>
      </c>
      <c r="D85" s="177">
        <v>2</v>
      </c>
      <c r="E85" s="177"/>
      <c r="F85" s="177"/>
    </row>
    <row r="86" spans="1:7" x14ac:dyDescent="0.3">
      <c r="A86" s="185">
        <v>2</v>
      </c>
      <c r="B86" s="184" t="s">
        <v>250</v>
      </c>
      <c r="C86" s="174" t="s">
        <v>214</v>
      </c>
      <c r="D86" s="177">
        <v>2</v>
      </c>
      <c r="E86" s="177"/>
      <c r="F86" s="177"/>
    </row>
    <row r="87" spans="1:7" x14ac:dyDescent="0.3">
      <c r="A87" s="185">
        <v>3</v>
      </c>
      <c r="B87" s="184" t="s">
        <v>62</v>
      </c>
      <c r="C87" s="174" t="s">
        <v>12</v>
      </c>
      <c r="D87" s="177">
        <v>6</v>
      </c>
      <c r="E87" s="177"/>
      <c r="F87" s="177"/>
    </row>
    <row r="88" spans="1:7" x14ac:dyDescent="0.3">
      <c r="A88" s="185">
        <v>4</v>
      </c>
      <c r="B88" s="184" t="s">
        <v>49</v>
      </c>
      <c r="C88" s="174" t="s">
        <v>50</v>
      </c>
      <c r="D88" s="177">
        <v>6</v>
      </c>
      <c r="E88" s="177"/>
      <c r="F88" s="177"/>
    </row>
    <row r="89" spans="1:7" x14ac:dyDescent="0.3">
      <c r="A89" s="185">
        <v>5</v>
      </c>
      <c r="B89" s="184" t="s">
        <v>49</v>
      </c>
      <c r="C89" s="174" t="s">
        <v>51</v>
      </c>
      <c r="D89" s="177">
        <v>6</v>
      </c>
      <c r="E89" s="177"/>
      <c r="F89" s="177"/>
    </row>
    <row r="90" spans="1:7" x14ac:dyDescent="0.3">
      <c r="A90" s="185">
        <v>6</v>
      </c>
      <c r="B90" s="184" t="s">
        <v>52</v>
      </c>
      <c r="C90" s="174" t="s">
        <v>53</v>
      </c>
      <c r="D90" s="177">
        <v>12</v>
      </c>
      <c r="E90" s="177"/>
      <c r="F90" s="177"/>
    </row>
    <row r="91" spans="1:7" x14ac:dyDescent="0.3">
      <c r="A91" s="185">
        <v>7</v>
      </c>
      <c r="B91" s="184" t="s">
        <v>54</v>
      </c>
      <c r="C91" s="174" t="s">
        <v>53</v>
      </c>
      <c r="D91" s="177">
        <v>6</v>
      </c>
      <c r="E91" s="177"/>
      <c r="F91" s="177"/>
    </row>
    <row r="92" spans="1:7" x14ac:dyDescent="0.3">
      <c r="A92" s="185">
        <v>8</v>
      </c>
      <c r="B92" s="184" t="s">
        <v>55</v>
      </c>
      <c r="C92" s="174" t="s">
        <v>45</v>
      </c>
      <c r="D92" s="177">
        <v>12</v>
      </c>
      <c r="E92" s="177"/>
      <c r="F92" s="177"/>
    </row>
    <row r="93" spans="1:7" x14ac:dyDescent="0.3">
      <c r="A93" s="185">
        <v>9</v>
      </c>
      <c r="B93" s="184" t="s">
        <v>63</v>
      </c>
      <c r="C93" s="174" t="s">
        <v>12</v>
      </c>
      <c r="D93" s="177">
        <v>110</v>
      </c>
      <c r="E93" s="177"/>
      <c r="F93" s="177"/>
      <c r="G93">
        <f>50.4/3.8*8</f>
        <v>106.10526315789474</v>
      </c>
    </row>
    <row r="94" spans="1:7" ht="30" customHeight="1" x14ac:dyDescent="0.3">
      <c r="A94" s="105" t="s">
        <v>10</v>
      </c>
      <c r="B94" s="105" t="s">
        <v>154</v>
      </c>
      <c r="C94" s="105" t="s">
        <v>32</v>
      </c>
      <c r="D94" s="105" t="s">
        <v>12</v>
      </c>
      <c r="E94" s="105"/>
      <c r="F94" s="105"/>
    </row>
    <row r="95" spans="1:7" x14ac:dyDescent="0.3">
      <c r="A95" s="174">
        <v>1</v>
      </c>
      <c r="B95" s="184" t="s">
        <v>275</v>
      </c>
      <c r="C95" s="174" t="s">
        <v>240</v>
      </c>
      <c r="D95" s="177">
        <v>3</v>
      </c>
      <c r="E95" s="182"/>
      <c r="F95" s="177"/>
    </row>
    <row r="96" spans="1:7" x14ac:dyDescent="0.3">
      <c r="A96" s="174">
        <v>2</v>
      </c>
      <c r="B96" s="184" t="s">
        <v>275</v>
      </c>
      <c r="C96" s="174" t="s">
        <v>241</v>
      </c>
      <c r="D96" s="177">
        <v>2</v>
      </c>
      <c r="E96" s="182"/>
      <c r="F96" s="177"/>
    </row>
    <row r="97" spans="1:7" x14ac:dyDescent="0.3">
      <c r="A97" s="174">
        <v>3</v>
      </c>
      <c r="B97" s="184" t="s">
        <v>276</v>
      </c>
      <c r="C97" s="174" t="s">
        <v>242</v>
      </c>
      <c r="D97" s="177">
        <v>3</v>
      </c>
      <c r="E97" s="182"/>
      <c r="F97" s="177"/>
    </row>
    <row r="98" spans="1:7" x14ac:dyDescent="0.3">
      <c r="A98" s="174">
        <v>4</v>
      </c>
      <c r="B98" s="184" t="s">
        <v>280</v>
      </c>
      <c r="C98" s="174" t="s">
        <v>279</v>
      </c>
      <c r="D98" s="177">
        <v>5</v>
      </c>
      <c r="E98" s="177"/>
      <c r="F98" s="177"/>
    </row>
    <row r="99" spans="1:7" x14ac:dyDescent="0.3">
      <c r="A99" s="174">
        <v>5</v>
      </c>
      <c r="B99" s="184" t="s">
        <v>281</v>
      </c>
      <c r="C99" s="174" t="s">
        <v>279</v>
      </c>
      <c r="D99" s="177">
        <v>4</v>
      </c>
      <c r="E99" s="177"/>
      <c r="F99" s="177"/>
    </row>
    <row r="100" spans="1:7" x14ac:dyDescent="0.3">
      <c r="A100" s="174">
        <v>6</v>
      </c>
      <c r="B100" s="184" t="s">
        <v>278</v>
      </c>
      <c r="C100" s="174" t="s">
        <v>277</v>
      </c>
      <c r="D100" s="177">
        <v>1</v>
      </c>
      <c r="E100" s="177"/>
      <c r="F100" s="177"/>
    </row>
    <row r="101" spans="1:7" ht="30" customHeight="1" x14ac:dyDescent="0.3">
      <c r="A101" s="105" t="s">
        <v>10</v>
      </c>
      <c r="B101" s="105" t="s">
        <v>65</v>
      </c>
      <c r="C101" s="105" t="s">
        <v>32</v>
      </c>
      <c r="D101" s="105" t="s">
        <v>12</v>
      </c>
      <c r="E101" s="105"/>
      <c r="F101" s="105"/>
    </row>
    <row r="102" spans="1:7" x14ac:dyDescent="0.3">
      <c r="A102" s="174">
        <v>1</v>
      </c>
      <c r="B102" s="184" t="s">
        <v>69</v>
      </c>
      <c r="C102" s="174" t="s">
        <v>70</v>
      </c>
      <c r="D102" s="177">
        <v>9</v>
      </c>
      <c r="E102" s="177"/>
      <c r="F102" s="177"/>
    </row>
    <row r="103" spans="1:7" x14ac:dyDescent="0.3">
      <c r="A103" s="174">
        <v>2</v>
      </c>
      <c r="B103" s="184" t="s">
        <v>71</v>
      </c>
      <c r="C103" s="174" t="s">
        <v>70</v>
      </c>
      <c r="D103" s="177">
        <v>6</v>
      </c>
      <c r="E103" s="177"/>
      <c r="F103" s="177"/>
    </row>
    <row r="104" spans="1:7" x14ac:dyDescent="0.3">
      <c r="A104" s="174">
        <v>3</v>
      </c>
      <c r="B104" s="184" t="s">
        <v>72</v>
      </c>
      <c r="C104" s="174" t="s">
        <v>12</v>
      </c>
      <c r="D104" s="177">
        <v>15</v>
      </c>
      <c r="E104" s="177"/>
      <c r="F104" s="177"/>
    </row>
    <row r="105" spans="1:7" x14ac:dyDescent="0.3">
      <c r="A105" s="174">
        <v>4</v>
      </c>
      <c r="B105" s="184" t="s">
        <v>73</v>
      </c>
      <c r="C105" s="174" t="s">
        <v>46</v>
      </c>
      <c r="D105" s="177">
        <v>155</v>
      </c>
      <c r="E105" s="177"/>
      <c r="F105" s="177"/>
      <c r="G105">
        <f>10.85*D116+(D111+D112*2+D113)*2</f>
        <v>151.64999999999998</v>
      </c>
    </row>
    <row r="106" spans="1:7" x14ac:dyDescent="0.3">
      <c r="A106" s="174">
        <v>5</v>
      </c>
      <c r="B106" s="184" t="s">
        <v>74</v>
      </c>
      <c r="C106" s="174" t="s">
        <v>47</v>
      </c>
      <c r="D106" s="177">
        <v>135</v>
      </c>
      <c r="E106" s="177"/>
      <c r="F106" s="177"/>
      <c r="G106">
        <f>10.85*D116+(D109+D110*2)*2</f>
        <v>127.64999999999999</v>
      </c>
    </row>
    <row r="107" spans="1:7" x14ac:dyDescent="0.3">
      <c r="A107" s="174">
        <v>6</v>
      </c>
      <c r="B107" s="184" t="s">
        <v>75</v>
      </c>
      <c r="C107" s="174" t="s">
        <v>61</v>
      </c>
      <c r="D107" s="177">
        <v>25</v>
      </c>
      <c r="E107" s="177"/>
      <c r="F107" s="177"/>
    </row>
    <row r="108" spans="1:7" x14ac:dyDescent="0.3">
      <c r="A108" s="174">
        <v>7</v>
      </c>
      <c r="B108" s="184" t="s">
        <v>76</v>
      </c>
      <c r="C108" s="174" t="s">
        <v>48</v>
      </c>
      <c r="D108" s="177">
        <v>5</v>
      </c>
      <c r="E108" s="177"/>
      <c r="F108" s="177"/>
    </row>
    <row r="109" spans="1:7" x14ac:dyDescent="0.3">
      <c r="A109" s="174">
        <v>8</v>
      </c>
      <c r="B109" s="184" t="s">
        <v>77</v>
      </c>
      <c r="C109" s="174" t="s">
        <v>12</v>
      </c>
      <c r="D109" s="177">
        <v>9</v>
      </c>
      <c r="E109" s="177"/>
      <c r="F109" s="177"/>
    </row>
    <row r="110" spans="1:7" x14ac:dyDescent="0.3">
      <c r="A110" s="174">
        <v>9</v>
      </c>
      <c r="B110" s="184" t="s">
        <v>78</v>
      </c>
      <c r="C110" s="174" t="s">
        <v>12</v>
      </c>
      <c r="D110" s="177">
        <v>3</v>
      </c>
      <c r="E110" s="177"/>
      <c r="F110" s="177"/>
    </row>
    <row r="111" spans="1:7" x14ac:dyDescent="0.3">
      <c r="A111" s="174">
        <v>10</v>
      </c>
      <c r="B111" s="184" t="s">
        <v>79</v>
      </c>
      <c r="C111" s="174" t="s">
        <v>80</v>
      </c>
      <c r="D111" s="177">
        <v>18</v>
      </c>
      <c r="E111" s="177"/>
      <c r="F111" s="177"/>
    </row>
    <row r="112" spans="1:7" x14ac:dyDescent="0.3">
      <c r="A112" s="174">
        <v>11</v>
      </c>
      <c r="B112" s="184" t="s">
        <v>81</v>
      </c>
      <c r="C112" s="174" t="s">
        <v>12</v>
      </c>
      <c r="D112" s="177">
        <v>4</v>
      </c>
      <c r="E112" s="177"/>
      <c r="F112" s="177"/>
    </row>
    <row r="113" spans="1:7" x14ac:dyDescent="0.3">
      <c r="A113" s="174">
        <v>12</v>
      </c>
      <c r="B113" s="184" t="s">
        <v>82</v>
      </c>
      <c r="C113" s="174" t="s">
        <v>12</v>
      </c>
      <c r="D113" s="177">
        <v>1</v>
      </c>
      <c r="E113" s="177"/>
      <c r="F113" s="177"/>
    </row>
    <row r="114" spans="1:7" x14ac:dyDescent="0.3">
      <c r="A114" s="174">
        <v>13</v>
      </c>
      <c r="B114" s="184" t="s">
        <v>83</v>
      </c>
      <c r="C114" s="174" t="s">
        <v>12</v>
      </c>
      <c r="D114" s="177">
        <v>55</v>
      </c>
      <c r="E114" s="177"/>
      <c r="F114" s="177"/>
    </row>
    <row r="115" spans="1:7" x14ac:dyDescent="0.3">
      <c r="A115" s="174">
        <v>14</v>
      </c>
      <c r="B115" s="184" t="s">
        <v>84</v>
      </c>
      <c r="C115" s="174" t="s">
        <v>85</v>
      </c>
      <c r="D115" s="177">
        <v>1</v>
      </c>
      <c r="E115" s="177"/>
      <c r="F115" s="177"/>
    </row>
    <row r="116" spans="1:7" x14ac:dyDescent="0.3">
      <c r="A116" s="174">
        <v>15</v>
      </c>
      <c r="B116" s="184" t="s">
        <v>86</v>
      </c>
      <c r="C116" s="174" t="s">
        <v>87</v>
      </c>
      <c r="D116" s="177">
        <v>9</v>
      </c>
      <c r="E116" s="177"/>
      <c r="F116" s="177"/>
    </row>
    <row r="117" spans="1:7" x14ac:dyDescent="0.3">
      <c r="A117" s="174">
        <v>16</v>
      </c>
      <c r="B117" s="184" t="s">
        <v>86</v>
      </c>
      <c r="C117" s="174" t="s">
        <v>88</v>
      </c>
      <c r="D117" s="177">
        <v>1</v>
      </c>
      <c r="E117" s="177"/>
      <c r="F117" s="177"/>
    </row>
    <row r="118" spans="1:7" x14ac:dyDescent="0.3">
      <c r="A118" s="174">
        <v>17</v>
      </c>
      <c r="B118" s="184" t="s">
        <v>89</v>
      </c>
      <c r="C118" s="174" t="s">
        <v>90</v>
      </c>
      <c r="D118" s="177">
        <v>1</v>
      </c>
      <c r="E118" s="177"/>
      <c r="F118" s="177"/>
    </row>
    <row r="119" spans="1:7" x14ac:dyDescent="0.3">
      <c r="A119" s="174">
        <v>18</v>
      </c>
      <c r="B119" s="184" t="s">
        <v>91</v>
      </c>
      <c r="C119" s="174" t="s">
        <v>12</v>
      </c>
      <c r="D119" s="177">
        <v>9</v>
      </c>
      <c r="E119" s="177"/>
      <c r="F119" s="177"/>
    </row>
    <row r="120" spans="1:7" x14ac:dyDescent="0.3">
      <c r="A120" s="174">
        <v>19</v>
      </c>
      <c r="B120" s="184" t="s">
        <v>92</v>
      </c>
      <c r="C120" s="174" t="s">
        <v>12</v>
      </c>
      <c r="D120" s="177">
        <v>1</v>
      </c>
      <c r="E120" s="177"/>
      <c r="F120" s="177"/>
    </row>
    <row r="121" spans="1:7" x14ac:dyDescent="0.3">
      <c r="A121" s="174">
        <v>20</v>
      </c>
      <c r="B121" s="184" t="s">
        <v>93</v>
      </c>
      <c r="C121" s="174" t="s">
        <v>12</v>
      </c>
      <c r="D121" s="177">
        <v>1</v>
      </c>
      <c r="E121" s="177"/>
      <c r="F121" s="177"/>
    </row>
    <row r="122" spans="1:7" ht="30" customHeight="1" x14ac:dyDescent="0.3">
      <c r="A122" s="105" t="s">
        <v>10</v>
      </c>
      <c r="B122" s="105" t="s">
        <v>64</v>
      </c>
      <c r="C122" s="105" t="s">
        <v>32</v>
      </c>
      <c r="D122" s="105" t="s">
        <v>12</v>
      </c>
      <c r="E122" s="105"/>
      <c r="F122" s="105"/>
    </row>
    <row r="123" spans="1:7" x14ac:dyDescent="0.3">
      <c r="A123" s="174">
        <v>1</v>
      </c>
      <c r="B123" s="184" t="s">
        <v>94</v>
      </c>
      <c r="C123" s="174" t="s">
        <v>12</v>
      </c>
      <c r="D123" s="177">
        <v>1050</v>
      </c>
      <c r="E123" s="177"/>
      <c r="F123" s="177"/>
      <c r="G123">
        <f>140*7.5</f>
        <v>1050</v>
      </c>
    </row>
    <row r="124" spans="1:7" x14ac:dyDescent="0.3">
      <c r="A124" s="174">
        <v>2</v>
      </c>
      <c r="B124" s="184" t="s">
        <v>95</v>
      </c>
      <c r="C124" s="174" t="s">
        <v>12</v>
      </c>
      <c r="D124" s="177">
        <v>3000</v>
      </c>
      <c r="E124" s="177"/>
      <c r="F124" s="177"/>
    </row>
    <row r="125" spans="1:7" x14ac:dyDescent="0.3">
      <c r="A125" s="174">
        <v>3</v>
      </c>
      <c r="B125" s="184" t="s">
        <v>96</v>
      </c>
      <c r="C125" s="174" t="s">
        <v>12</v>
      </c>
      <c r="D125" s="177">
        <v>750</v>
      </c>
      <c r="E125" s="177"/>
      <c r="F125" s="177"/>
      <c r="G125">
        <f>(D111+D112*2+D113)*4+D67*4+D93*3</f>
        <v>530</v>
      </c>
    </row>
    <row r="126" spans="1:7" x14ac:dyDescent="0.3">
      <c r="A126" s="174">
        <v>4</v>
      </c>
      <c r="B126" s="184" t="s">
        <v>97</v>
      </c>
      <c r="C126" s="174" t="s">
        <v>12</v>
      </c>
      <c r="D126" s="177">
        <v>160</v>
      </c>
      <c r="E126" s="177"/>
      <c r="F126" s="177"/>
    </row>
    <row r="127" spans="1:7" x14ac:dyDescent="0.3">
      <c r="A127" s="174">
        <v>5</v>
      </c>
      <c r="B127" s="184" t="s">
        <v>237</v>
      </c>
      <c r="C127" s="174" t="s">
        <v>12</v>
      </c>
      <c r="D127" s="177">
        <v>1500</v>
      </c>
      <c r="E127" s="177"/>
      <c r="F127" s="177"/>
    </row>
    <row r="128" spans="1:7" x14ac:dyDescent="0.3">
      <c r="A128" s="174">
        <v>6</v>
      </c>
      <c r="B128" s="184" t="s">
        <v>238</v>
      </c>
      <c r="C128" s="174" t="s">
        <v>12</v>
      </c>
      <c r="D128" s="177">
        <v>350</v>
      </c>
      <c r="E128" s="177"/>
      <c r="F128" s="177"/>
      <c r="G128">
        <f>140*2.5</f>
        <v>350</v>
      </c>
    </row>
    <row r="129" spans="1:10" x14ac:dyDescent="0.3">
      <c r="A129" s="174">
        <v>7</v>
      </c>
      <c r="B129" s="184" t="s">
        <v>239</v>
      </c>
      <c r="C129" s="174" t="s">
        <v>12</v>
      </c>
      <c r="D129" s="177">
        <v>1250</v>
      </c>
      <c r="E129" s="177"/>
      <c r="F129" s="177"/>
    </row>
    <row r="130" spans="1:10" ht="30" customHeight="1" x14ac:dyDescent="0.3">
      <c r="A130" s="105" t="s">
        <v>10</v>
      </c>
      <c r="B130" s="105" t="s">
        <v>66</v>
      </c>
      <c r="C130" s="105" t="s">
        <v>32</v>
      </c>
      <c r="D130" s="105" t="s">
        <v>12</v>
      </c>
      <c r="E130" s="105"/>
      <c r="F130" s="105"/>
    </row>
    <row r="131" spans="1:10" x14ac:dyDescent="0.3">
      <c r="A131" s="174">
        <v>1</v>
      </c>
      <c r="B131" s="184" t="s">
        <v>260</v>
      </c>
      <c r="C131" s="174" t="s">
        <v>12</v>
      </c>
      <c r="D131" s="177">
        <v>140</v>
      </c>
      <c r="E131" s="186"/>
      <c r="F131" s="177"/>
      <c r="G131" t="s">
        <v>262</v>
      </c>
      <c r="J131">
        <f>160/1.185</f>
        <v>135.0210970464135</v>
      </c>
    </row>
    <row r="132" spans="1:10" x14ac:dyDescent="0.3">
      <c r="A132" s="174">
        <v>2</v>
      </c>
      <c r="B132" s="184" t="s">
        <v>261</v>
      </c>
      <c r="C132" s="174" t="s">
        <v>12</v>
      </c>
      <c r="D132" s="177">
        <v>20</v>
      </c>
      <c r="E132" s="186"/>
      <c r="F132" s="177"/>
      <c r="G132" t="s">
        <v>259</v>
      </c>
      <c r="J132">
        <f>65.54/3.65</f>
        <v>17.956164383561646</v>
      </c>
    </row>
    <row r="133" spans="1:10" x14ac:dyDescent="0.3">
      <c r="A133" s="174">
        <v>3</v>
      </c>
      <c r="B133" s="184" t="s">
        <v>98</v>
      </c>
      <c r="C133" s="174" t="s">
        <v>12</v>
      </c>
      <c r="D133" s="177">
        <v>4</v>
      </c>
      <c r="E133" s="177"/>
      <c r="F133" s="177"/>
      <c r="G133" t="s">
        <v>258</v>
      </c>
    </row>
    <row r="134" spans="1:10" x14ac:dyDescent="0.3">
      <c r="A134" s="174">
        <v>4</v>
      </c>
      <c r="B134" s="184" t="s">
        <v>99</v>
      </c>
      <c r="C134" s="174" t="s">
        <v>12</v>
      </c>
      <c r="D134" s="177">
        <v>37</v>
      </c>
      <c r="E134" s="177"/>
      <c r="F134" s="177"/>
      <c r="J134">
        <f>D53+D54+D56+D57</f>
        <v>37</v>
      </c>
    </row>
    <row r="135" spans="1:10" x14ac:dyDescent="0.3">
      <c r="A135" s="174">
        <v>5</v>
      </c>
      <c r="B135" s="184" t="s">
        <v>100</v>
      </c>
      <c r="C135" s="174" t="s">
        <v>12</v>
      </c>
      <c r="D135" s="177">
        <v>10</v>
      </c>
      <c r="E135" s="177"/>
      <c r="F135" s="177"/>
      <c r="G135">
        <f>140/15</f>
        <v>9.3333333333333339</v>
      </c>
    </row>
    <row r="136" spans="1:10" x14ac:dyDescent="0.3">
      <c r="A136" s="174">
        <v>6</v>
      </c>
      <c r="B136" s="184" t="s">
        <v>101</v>
      </c>
      <c r="C136" s="174" t="s">
        <v>12</v>
      </c>
      <c r="D136" s="177">
        <v>10</v>
      </c>
      <c r="E136" s="177"/>
      <c r="F136" s="177"/>
    </row>
    <row r="137" spans="1:10" x14ac:dyDescent="0.3">
      <c r="A137" s="174">
        <v>7</v>
      </c>
      <c r="B137" s="184" t="s">
        <v>102</v>
      </c>
      <c r="C137" s="174" t="s">
        <v>12</v>
      </c>
      <c r="D137" s="177">
        <v>3</v>
      </c>
      <c r="E137" s="177"/>
      <c r="F137" s="177"/>
      <c r="G137">
        <f>140*0.02</f>
        <v>2.8000000000000003</v>
      </c>
    </row>
    <row r="138" spans="1:10" x14ac:dyDescent="0.3">
      <c r="A138" s="174">
        <v>8</v>
      </c>
      <c r="B138" s="184" t="s">
        <v>103</v>
      </c>
      <c r="C138" s="174" t="s">
        <v>12</v>
      </c>
      <c r="D138" s="177">
        <v>10</v>
      </c>
      <c r="E138" s="177"/>
      <c r="F138" s="177"/>
    </row>
    <row r="139" spans="1:10" x14ac:dyDescent="0.3">
      <c r="A139" s="174">
        <v>9</v>
      </c>
      <c r="B139" s="184" t="s">
        <v>104</v>
      </c>
      <c r="C139" s="174" t="s">
        <v>12</v>
      </c>
      <c r="D139" s="177">
        <v>1</v>
      </c>
      <c r="E139" s="177"/>
      <c r="F139" s="177"/>
    </row>
    <row r="140" spans="1:10" x14ac:dyDescent="0.3">
      <c r="A140" s="174">
        <v>10</v>
      </c>
      <c r="B140" s="184" t="s">
        <v>105</v>
      </c>
      <c r="C140" s="174" t="s">
        <v>12</v>
      </c>
      <c r="D140" s="177">
        <v>2</v>
      </c>
      <c r="E140" s="177"/>
      <c r="F140" s="177"/>
    </row>
    <row r="141" spans="1:10" x14ac:dyDescent="0.3">
      <c r="A141" s="174">
        <v>11</v>
      </c>
      <c r="B141" s="184" t="s">
        <v>256</v>
      </c>
      <c r="C141" s="174" t="s">
        <v>12</v>
      </c>
      <c r="D141" s="177">
        <v>9</v>
      </c>
      <c r="E141" s="177"/>
      <c r="F141" s="177"/>
      <c r="G141">
        <f>140*0.06</f>
        <v>8.4</v>
      </c>
    </row>
    <row r="142" spans="1:10" x14ac:dyDescent="0.3">
      <c r="A142" s="174">
        <v>12</v>
      </c>
      <c r="B142" s="184" t="s">
        <v>257</v>
      </c>
      <c r="C142" s="174" t="s">
        <v>12</v>
      </c>
      <c r="D142" s="177">
        <v>8</v>
      </c>
      <c r="E142" s="177"/>
      <c r="F142" s="177"/>
      <c r="G142">
        <f>D95+D96+D97</f>
        <v>8</v>
      </c>
    </row>
    <row r="143" spans="1:10" x14ac:dyDescent="0.3">
      <c r="A143" s="174">
        <v>13</v>
      </c>
      <c r="B143" s="184" t="s">
        <v>106</v>
      </c>
      <c r="C143" s="174" t="s">
        <v>12</v>
      </c>
      <c r="D143" s="177">
        <v>1</v>
      </c>
      <c r="E143" s="177"/>
      <c r="F143" s="177"/>
    </row>
    <row r="144" spans="1:10" x14ac:dyDescent="0.3">
      <c r="A144" s="174">
        <v>14</v>
      </c>
      <c r="B144" s="184" t="s">
        <v>107</v>
      </c>
      <c r="C144" s="174" t="s">
        <v>61</v>
      </c>
      <c r="D144" s="177">
        <v>4</v>
      </c>
      <c r="E144" s="177"/>
      <c r="F144" s="177"/>
    </row>
    <row r="145" spans="1:7" x14ac:dyDescent="0.3">
      <c r="A145" s="174">
        <v>15</v>
      </c>
      <c r="B145" s="184" t="s">
        <v>108</v>
      </c>
      <c r="C145" s="174" t="s">
        <v>12</v>
      </c>
      <c r="D145" s="177">
        <v>2</v>
      </c>
      <c r="E145" s="177"/>
      <c r="F145" s="177"/>
    </row>
    <row r="146" spans="1:7" x14ac:dyDescent="0.3">
      <c r="A146" s="174">
        <v>16</v>
      </c>
      <c r="B146" s="184" t="s">
        <v>109</v>
      </c>
      <c r="C146" s="174" t="s">
        <v>12</v>
      </c>
      <c r="D146" s="177">
        <v>1</v>
      </c>
      <c r="E146" s="177"/>
      <c r="F146" s="177"/>
    </row>
    <row r="147" spans="1:7" ht="30" customHeight="1" x14ac:dyDescent="0.3">
      <c r="A147" s="105" t="s">
        <v>10</v>
      </c>
      <c r="B147" s="105" t="s">
        <v>67</v>
      </c>
      <c r="C147" s="105" t="s">
        <v>32</v>
      </c>
      <c r="D147" s="105" t="s">
        <v>12</v>
      </c>
      <c r="E147" s="105"/>
      <c r="F147" s="105"/>
    </row>
    <row r="148" spans="1:7" x14ac:dyDescent="0.3">
      <c r="A148" s="174">
        <v>1</v>
      </c>
      <c r="B148" s="184" t="s">
        <v>110</v>
      </c>
      <c r="C148" s="174" t="s">
        <v>56</v>
      </c>
      <c r="D148" s="187">
        <v>6</v>
      </c>
      <c r="E148" s="187"/>
      <c r="F148" s="177"/>
    </row>
    <row r="149" spans="1:7" x14ac:dyDescent="0.3">
      <c r="A149" s="174">
        <v>2</v>
      </c>
      <c r="B149" s="184" t="s">
        <v>111</v>
      </c>
      <c r="C149" s="174" t="s">
        <v>12</v>
      </c>
      <c r="D149" s="187">
        <v>15</v>
      </c>
      <c r="E149" s="187"/>
      <c r="F149" s="177"/>
    </row>
    <row r="150" spans="1:7" x14ac:dyDescent="0.3">
      <c r="A150" s="174">
        <v>3</v>
      </c>
      <c r="B150" s="184" t="s">
        <v>112</v>
      </c>
      <c r="C150" s="174" t="s">
        <v>12</v>
      </c>
      <c r="D150" s="187">
        <v>12</v>
      </c>
      <c r="E150" s="187"/>
      <c r="F150" s="177"/>
    </row>
    <row r="151" spans="1:7" x14ac:dyDescent="0.3">
      <c r="A151" s="174">
        <v>4</v>
      </c>
      <c r="B151" s="184" t="s">
        <v>113</v>
      </c>
      <c r="C151" s="174" t="s">
        <v>12</v>
      </c>
      <c r="D151" s="187">
        <v>6</v>
      </c>
      <c r="E151" s="187"/>
      <c r="F151" s="177"/>
    </row>
    <row r="152" spans="1:7" x14ac:dyDescent="0.3">
      <c r="A152" s="174">
        <v>5</v>
      </c>
      <c r="B152" s="184" t="s">
        <v>114</v>
      </c>
      <c r="C152" s="174" t="s">
        <v>12</v>
      </c>
      <c r="D152" s="187">
        <v>15</v>
      </c>
      <c r="E152" s="187"/>
      <c r="F152" s="177"/>
    </row>
    <row r="153" spans="1:7" x14ac:dyDescent="0.3">
      <c r="A153" s="174">
        <v>6</v>
      </c>
      <c r="B153" s="184" t="s">
        <v>115</v>
      </c>
      <c r="C153" s="174" t="s">
        <v>12</v>
      </c>
      <c r="D153" s="188">
        <v>4</v>
      </c>
      <c r="E153" s="188"/>
      <c r="F153" s="177"/>
    </row>
    <row r="154" spans="1:7" x14ac:dyDescent="0.3">
      <c r="A154" s="174">
        <v>7</v>
      </c>
      <c r="B154" s="184" t="s">
        <v>116</v>
      </c>
      <c r="C154" s="174" t="s">
        <v>12</v>
      </c>
      <c r="D154" s="187">
        <v>6</v>
      </c>
      <c r="E154" s="187"/>
      <c r="F154" s="177"/>
    </row>
    <row r="155" spans="1:7" x14ac:dyDescent="0.3">
      <c r="A155" s="174">
        <v>8</v>
      </c>
      <c r="B155" s="184" t="s">
        <v>117</v>
      </c>
      <c r="C155" s="174" t="s">
        <v>12</v>
      </c>
      <c r="D155" s="187">
        <v>3</v>
      </c>
      <c r="E155" s="187"/>
      <c r="F155" s="177"/>
    </row>
    <row r="156" spans="1:7" ht="30" customHeight="1" x14ac:dyDescent="0.3">
      <c r="A156" s="105" t="s">
        <v>10</v>
      </c>
      <c r="B156" s="105" t="s">
        <v>68</v>
      </c>
      <c r="C156" s="105" t="s">
        <v>32</v>
      </c>
      <c r="D156" s="105" t="s">
        <v>12</v>
      </c>
      <c r="E156" s="105"/>
      <c r="F156" s="105"/>
    </row>
    <row r="157" spans="1:7" x14ac:dyDescent="0.3">
      <c r="A157" s="174">
        <v>1</v>
      </c>
      <c r="B157" s="184" t="s">
        <v>254</v>
      </c>
      <c r="C157" s="174" t="s">
        <v>251</v>
      </c>
      <c r="D157" s="177">
        <v>3</v>
      </c>
      <c r="E157" s="177"/>
      <c r="F157" s="177"/>
      <c r="G157">
        <f>140*0.02</f>
        <v>2.8000000000000003</v>
      </c>
    </row>
    <row r="158" spans="1:7" x14ac:dyDescent="0.3">
      <c r="A158" s="174">
        <v>2</v>
      </c>
      <c r="B158" s="184" t="s">
        <v>255</v>
      </c>
      <c r="C158" s="174" t="s">
        <v>251</v>
      </c>
      <c r="D158" s="177">
        <v>3</v>
      </c>
      <c r="E158" s="177"/>
      <c r="F158" s="177"/>
      <c r="G158">
        <f>140*0.02</f>
        <v>2.8000000000000003</v>
      </c>
    </row>
    <row r="159" spans="1:7" x14ac:dyDescent="0.3">
      <c r="A159" s="174">
        <v>3</v>
      </c>
      <c r="B159" s="184" t="s">
        <v>252</v>
      </c>
      <c r="C159" s="174" t="s">
        <v>251</v>
      </c>
      <c r="D159" s="177">
        <v>2</v>
      </c>
      <c r="E159" s="177"/>
      <c r="F159" s="177"/>
      <c r="G159">
        <f>140*0.01</f>
        <v>1.4000000000000001</v>
      </c>
    </row>
    <row r="160" spans="1:7" x14ac:dyDescent="0.3">
      <c r="A160" s="174">
        <v>4</v>
      </c>
      <c r="B160" s="184" t="s">
        <v>253</v>
      </c>
      <c r="C160" s="174" t="s">
        <v>251</v>
      </c>
      <c r="D160" s="177">
        <v>2</v>
      </c>
      <c r="E160" s="177"/>
      <c r="F160" s="177"/>
      <c r="G160">
        <f>140*0.01</f>
        <v>1.4000000000000001</v>
      </c>
    </row>
  </sheetData>
  <mergeCells count="14">
    <mergeCell ref="A1:F1"/>
    <mergeCell ref="A15:C15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E6:F6"/>
    <mergeCell ref="A7:B7"/>
    <mergeCell ref="A8:B9"/>
  </mergeCells>
  <pageMargins left="0.7" right="0.7" top="0.75" bottom="0.75" header="0.3" footer="0.3"/>
  <pageSetup paperSize="9" scale="63" fitToHeight="0" orientation="portrait" horizontalDpi="360" verticalDpi="360" r:id="rId1"/>
  <rowBreaks count="2" manualBreakCount="2">
    <brk id="70" max="5" man="1"/>
    <brk id="12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02DD-BF12-4DEB-8D99-AB5BF46A2F4D}">
  <sheetPr>
    <tabColor rgb="FFFF0000"/>
  </sheetPr>
  <dimension ref="A1:X38"/>
  <sheetViews>
    <sheetView zoomScale="115" zoomScaleNormal="115" workbookViewId="0">
      <selection activeCell="N39" sqref="N39"/>
    </sheetView>
  </sheetViews>
  <sheetFormatPr defaultRowHeight="14.4" x14ac:dyDescent="0.3"/>
  <cols>
    <col min="1" max="1" width="10.6640625" bestFit="1" customWidth="1"/>
    <col min="3" max="3" width="13.88671875" bestFit="1" customWidth="1"/>
    <col min="4" max="4" width="9.109375" customWidth="1"/>
    <col min="5" max="5" width="3.88671875" customWidth="1"/>
    <col min="7" max="7" width="5.88671875" bestFit="1" customWidth="1"/>
    <col min="8" max="8" width="15.6640625" bestFit="1" customWidth="1"/>
    <col min="10" max="10" width="13.33203125" bestFit="1" customWidth="1"/>
    <col min="12" max="12" width="3.5546875" customWidth="1"/>
    <col min="18" max="18" width="11.5546875" customWidth="1"/>
    <col min="22" max="22" width="12.6640625" customWidth="1"/>
  </cols>
  <sheetData>
    <row r="1" spans="1:24" x14ac:dyDescent="0.3">
      <c r="A1" s="112" t="s">
        <v>156</v>
      </c>
      <c r="B1" s="113"/>
      <c r="C1" s="113"/>
      <c r="D1" s="114"/>
      <c r="E1" s="4"/>
      <c r="F1" s="115" t="s">
        <v>157</v>
      </c>
      <c r="G1" s="5"/>
      <c r="H1" s="112" t="s">
        <v>158</v>
      </c>
      <c r="I1" s="113"/>
      <c r="J1" s="113"/>
      <c r="K1" s="114"/>
      <c r="L1" s="5"/>
      <c r="M1" s="6" t="s">
        <v>159</v>
      </c>
      <c r="N1" s="7" t="s">
        <v>160</v>
      </c>
      <c r="O1" s="8" t="s">
        <v>161</v>
      </c>
      <c r="P1" s="9" t="s">
        <v>162</v>
      </c>
      <c r="Q1" s="10"/>
      <c r="R1" s="6" t="s">
        <v>159</v>
      </c>
      <c r="S1" s="7" t="s">
        <v>160</v>
      </c>
      <c r="T1" s="8" t="s">
        <v>161</v>
      </c>
      <c r="U1" s="9" t="s">
        <v>162</v>
      </c>
      <c r="V1" s="10"/>
      <c r="W1" s="10"/>
      <c r="X1" s="10"/>
    </row>
    <row r="2" spans="1:24" x14ac:dyDescent="0.3">
      <c r="A2" s="11"/>
      <c r="B2" s="12" t="s">
        <v>161</v>
      </c>
      <c r="C2" s="12" t="s">
        <v>163</v>
      </c>
      <c r="D2" s="13"/>
      <c r="E2" s="5"/>
      <c r="F2" s="116"/>
      <c r="G2" s="5"/>
      <c r="H2" s="11"/>
      <c r="I2" s="12" t="s">
        <v>161</v>
      </c>
      <c r="J2" s="12" t="s">
        <v>163</v>
      </c>
      <c r="K2" s="13"/>
      <c r="L2" s="5"/>
      <c r="M2" s="14" t="s">
        <v>164</v>
      </c>
      <c r="N2" s="15" t="s">
        <v>165</v>
      </c>
      <c r="O2" s="16"/>
      <c r="P2" s="17"/>
      <c r="Q2" s="10"/>
      <c r="R2" s="18" t="s">
        <v>166</v>
      </c>
      <c r="S2" s="15" t="s">
        <v>165</v>
      </c>
      <c r="T2" s="16"/>
      <c r="U2" s="17"/>
      <c r="V2" s="10"/>
      <c r="W2" s="10"/>
      <c r="X2" s="10"/>
    </row>
    <row r="3" spans="1:24" x14ac:dyDescent="0.3">
      <c r="A3" s="19" t="s">
        <v>167</v>
      </c>
      <c r="B3" s="20"/>
      <c r="C3" s="21">
        <f>$F$3</f>
        <v>0</v>
      </c>
      <c r="D3" s="22">
        <f>B3*C3</f>
        <v>0</v>
      </c>
      <c r="E3" s="5"/>
      <c r="F3" s="16"/>
      <c r="G3" s="5"/>
      <c r="H3" s="23" t="s">
        <v>168</v>
      </c>
      <c r="I3" s="21">
        <f>SUM(O2:O10)</f>
        <v>0</v>
      </c>
      <c r="J3" s="21">
        <f>$F$3</f>
        <v>0</v>
      </c>
      <c r="K3" s="24">
        <f>PRODUCT(I3,J3)</f>
        <v>0</v>
      </c>
      <c r="L3" s="25"/>
      <c r="M3" s="14" t="s">
        <v>164</v>
      </c>
      <c r="N3" s="15" t="s">
        <v>165</v>
      </c>
      <c r="O3" s="16"/>
      <c r="P3" s="17"/>
      <c r="Q3" s="26"/>
      <c r="R3" s="18" t="s">
        <v>166</v>
      </c>
      <c r="S3" s="15" t="s">
        <v>165</v>
      </c>
      <c r="T3" s="16"/>
      <c r="U3" s="17"/>
      <c r="V3" s="10"/>
      <c r="W3" s="10"/>
      <c r="X3" s="10"/>
    </row>
    <row r="4" spans="1:24" x14ac:dyDescent="0.3">
      <c r="A4" s="19" t="s">
        <v>169</v>
      </c>
      <c r="B4" s="20"/>
      <c r="C4" s="21">
        <v>0.3</v>
      </c>
      <c r="D4" s="22">
        <f t="shared" ref="D4:D5" si="0">B4*C4</f>
        <v>0</v>
      </c>
      <c r="E4" s="5"/>
      <c r="F4" s="5"/>
      <c r="G4" s="5"/>
      <c r="H4" s="27" t="s">
        <v>170</v>
      </c>
      <c r="I4" s="28">
        <f>SUM(O11:O13)</f>
        <v>0</v>
      </c>
      <c r="J4" s="21">
        <f>$F$3</f>
        <v>0</v>
      </c>
      <c r="K4" s="24">
        <f>PRODUCT(I4,J4)</f>
        <v>0</v>
      </c>
      <c r="L4" s="25"/>
      <c r="M4" s="14" t="s">
        <v>164</v>
      </c>
      <c r="N4" s="15" t="s">
        <v>165</v>
      </c>
      <c r="O4" s="16"/>
      <c r="P4" s="17"/>
      <c r="Q4" s="26"/>
      <c r="R4" s="18" t="s">
        <v>166</v>
      </c>
      <c r="S4" s="15" t="s">
        <v>165</v>
      </c>
      <c r="T4" s="16"/>
      <c r="U4" s="17"/>
      <c r="V4" s="10"/>
      <c r="W4" s="10"/>
      <c r="X4" s="10"/>
    </row>
    <row r="5" spans="1:24" x14ac:dyDescent="0.3">
      <c r="A5" s="19" t="s">
        <v>166</v>
      </c>
      <c r="B5" s="20"/>
      <c r="C5" s="21">
        <f>F7</f>
        <v>0</v>
      </c>
      <c r="D5" s="22">
        <f t="shared" si="0"/>
        <v>0</v>
      </c>
      <c r="E5" s="5"/>
      <c r="F5" s="117" t="s">
        <v>171</v>
      </c>
      <c r="G5" s="5"/>
      <c r="H5" s="23" t="s">
        <v>172</v>
      </c>
      <c r="I5" s="29">
        <f>SUM(T2:T10)</f>
        <v>0</v>
      </c>
      <c r="J5" s="21">
        <f>$F$7</f>
        <v>0</v>
      </c>
      <c r="K5" s="24">
        <f>PRODUCT(I5,J5)</f>
        <v>0</v>
      </c>
      <c r="L5" s="30"/>
      <c r="M5" s="14" t="s">
        <v>164</v>
      </c>
      <c r="N5" s="15" t="s">
        <v>165</v>
      </c>
      <c r="O5" s="16"/>
      <c r="P5" s="17"/>
      <c r="Q5" s="26"/>
      <c r="R5" s="18" t="s">
        <v>166</v>
      </c>
      <c r="S5" s="15" t="s">
        <v>165</v>
      </c>
      <c r="T5" s="16"/>
      <c r="U5" s="17"/>
      <c r="V5" s="10"/>
      <c r="W5" s="10"/>
      <c r="X5" s="10"/>
    </row>
    <row r="6" spans="1:24" ht="15" thickBot="1" x14ac:dyDescent="0.35">
      <c r="A6" s="31"/>
      <c r="B6" s="32"/>
      <c r="C6" s="33" t="s">
        <v>173</v>
      </c>
      <c r="D6" s="34">
        <f>D3+D4+D5</f>
        <v>0</v>
      </c>
      <c r="E6" s="5"/>
      <c r="F6" s="116"/>
      <c r="G6" s="5"/>
      <c r="H6" s="27" t="s">
        <v>174</v>
      </c>
      <c r="I6" s="29">
        <f>SUM(T11:T13)</f>
        <v>0</v>
      </c>
      <c r="J6" s="21">
        <f>$F$7</f>
        <v>0</v>
      </c>
      <c r="K6" s="24">
        <f>PRODUCT(I6,J6)</f>
        <v>0</v>
      </c>
      <c r="L6" s="25"/>
      <c r="M6" s="14" t="s">
        <v>164</v>
      </c>
      <c r="N6" s="15" t="s">
        <v>165</v>
      </c>
      <c r="O6" s="16"/>
      <c r="P6" s="17"/>
      <c r="Q6" s="26"/>
      <c r="R6" s="18" t="s">
        <v>166</v>
      </c>
      <c r="S6" s="15" t="s">
        <v>165</v>
      </c>
      <c r="T6" s="16"/>
      <c r="U6" s="17"/>
      <c r="V6" s="10"/>
      <c r="W6" s="10"/>
      <c r="X6" s="10"/>
    </row>
    <row r="7" spans="1:24" ht="15" thickBot="1" x14ac:dyDescent="0.35">
      <c r="A7" s="5"/>
      <c r="B7" s="5"/>
      <c r="C7" s="35"/>
      <c r="D7" s="5"/>
      <c r="E7" s="5"/>
      <c r="F7" s="16"/>
      <c r="G7" s="5"/>
      <c r="H7" s="36" t="s">
        <v>175</v>
      </c>
      <c r="I7" s="37">
        <f>I3+I4+I5+I6</f>
        <v>0</v>
      </c>
      <c r="J7" s="33" t="s">
        <v>34</v>
      </c>
      <c r="K7" s="38">
        <f>K3+K4+K5+K6</f>
        <v>0</v>
      </c>
      <c r="L7" s="25"/>
      <c r="M7" s="14" t="s">
        <v>164</v>
      </c>
      <c r="N7" s="15" t="s">
        <v>165</v>
      </c>
      <c r="O7" s="16"/>
      <c r="P7" s="17"/>
      <c r="Q7" s="26"/>
      <c r="R7" s="18" t="s">
        <v>166</v>
      </c>
      <c r="S7" s="15" t="s">
        <v>165</v>
      </c>
      <c r="T7" s="16"/>
      <c r="U7" s="17"/>
      <c r="V7" s="10"/>
      <c r="W7" s="10"/>
      <c r="X7" s="10"/>
    </row>
    <row r="8" spans="1:24" ht="15" thickBo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39"/>
      <c r="M8" s="14" t="s">
        <v>164</v>
      </c>
      <c r="N8" s="15" t="s">
        <v>165</v>
      </c>
      <c r="O8" s="16"/>
      <c r="P8" s="17"/>
      <c r="Q8" s="26"/>
      <c r="R8" s="18" t="s">
        <v>166</v>
      </c>
      <c r="S8" s="15" t="s">
        <v>165</v>
      </c>
      <c r="T8" s="16"/>
      <c r="U8" s="17"/>
      <c r="V8" s="10"/>
      <c r="W8" s="10"/>
      <c r="X8" s="10"/>
    </row>
    <row r="9" spans="1:24" x14ac:dyDescent="0.3">
      <c r="A9" s="118" t="s">
        <v>176</v>
      </c>
      <c r="B9" s="119"/>
      <c r="C9" s="119"/>
      <c r="D9" s="120"/>
      <c r="E9" s="5"/>
      <c r="F9" s="10"/>
      <c r="G9" s="10"/>
      <c r="H9" s="121" t="s">
        <v>177</v>
      </c>
      <c r="I9" s="122"/>
      <c r="J9" s="122"/>
      <c r="K9" s="123"/>
      <c r="L9" s="39"/>
      <c r="M9" s="14" t="s">
        <v>164</v>
      </c>
      <c r="N9" s="15" t="s">
        <v>165</v>
      </c>
      <c r="O9" s="16"/>
      <c r="P9" s="17"/>
      <c r="Q9" s="40" t="s">
        <v>22</v>
      </c>
      <c r="R9" s="18" t="s">
        <v>166</v>
      </c>
      <c r="S9" s="15" t="s">
        <v>165</v>
      </c>
      <c r="T9" s="16"/>
      <c r="U9" s="17"/>
      <c r="V9" s="41" t="s">
        <v>22</v>
      </c>
      <c r="W9" s="10"/>
      <c r="X9" s="10"/>
    </row>
    <row r="10" spans="1:24" ht="15" thickBot="1" x14ac:dyDescent="0.35">
      <c r="A10" s="42" t="s">
        <v>12</v>
      </c>
      <c r="B10" s="43" t="s">
        <v>161</v>
      </c>
      <c r="C10" s="43" t="s">
        <v>178</v>
      </c>
      <c r="D10" s="44"/>
      <c r="E10" s="5"/>
      <c r="F10" s="10"/>
      <c r="G10" s="10"/>
      <c r="H10" s="42" t="s">
        <v>12</v>
      </c>
      <c r="I10" s="43" t="s">
        <v>161</v>
      </c>
      <c r="J10" s="43" t="s">
        <v>178</v>
      </c>
      <c r="K10" s="44"/>
      <c r="L10" s="39"/>
      <c r="M10" s="14" t="s">
        <v>164</v>
      </c>
      <c r="N10" s="15" t="s">
        <v>165</v>
      </c>
      <c r="O10" s="16"/>
      <c r="P10" s="17"/>
      <c r="Q10" s="45">
        <f>SUM(P2:P10)</f>
        <v>0</v>
      </c>
      <c r="R10" s="18" t="s">
        <v>166</v>
      </c>
      <c r="S10" s="15" t="s">
        <v>165</v>
      </c>
      <c r="T10" s="16"/>
      <c r="U10" s="17"/>
      <c r="V10" s="46">
        <f>SUM(U2:U10)</f>
        <v>0</v>
      </c>
      <c r="W10" s="10"/>
      <c r="X10" s="10"/>
    </row>
    <row r="11" spans="1:24" ht="15" thickBot="1" x14ac:dyDescent="0.35">
      <c r="A11" s="19"/>
      <c r="B11" s="20"/>
      <c r="C11" s="20"/>
      <c r="D11" s="22">
        <f>A11*B11*C11</f>
        <v>0</v>
      </c>
      <c r="E11" s="5"/>
      <c r="F11" s="10"/>
      <c r="G11" s="10"/>
      <c r="H11" s="19"/>
      <c r="I11" s="20"/>
      <c r="J11" s="20"/>
      <c r="K11" s="22">
        <f>I11*J11</f>
        <v>0</v>
      </c>
      <c r="L11" s="39"/>
      <c r="M11" s="14" t="s">
        <v>164</v>
      </c>
      <c r="N11" s="47" t="s">
        <v>179</v>
      </c>
      <c r="O11" s="16"/>
      <c r="P11" s="17"/>
      <c r="Q11" s="26"/>
      <c r="R11" s="18" t="s">
        <v>166</v>
      </c>
      <c r="S11" s="47" t="s">
        <v>179</v>
      </c>
      <c r="T11" s="16"/>
      <c r="U11" s="17"/>
      <c r="V11" s="10"/>
      <c r="W11" s="10"/>
      <c r="X11" s="10"/>
    </row>
    <row r="12" spans="1:24" x14ac:dyDescent="0.3">
      <c r="A12" s="19"/>
      <c r="B12" s="48"/>
      <c r="C12" s="48"/>
      <c r="D12" s="22">
        <f>A12*B12*C12</f>
        <v>0</v>
      </c>
      <c r="E12" s="5"/>
      <c r="F12" s="10"/>
      <c r="G12" s="10"/>
      <c r="H12" s="19"/>
      <c r="I12" s="16"/>
      <c r="J12" s="16"/>
      <c r="K12" s="22">
        <f>I12*J12</f>
        <v>0</v>
      </c>
      <c r="L12" s="39"/>
      <c r="M12" s="14" t="s">
        <v>164</v>
      </c>
      <c r="N12" s="47" t="s">
        <v>179</v>
      </c>
      <c r="O12" s="16"/>
      <c r="P12" s="49"/>
      <c r="Q12" s="50" t="s">
        <v>22</v>
      </c>
      <c r="R12" s="18" t="s">
        <v>166</v>
      </c>
      <c r="S12" s="47" t="s">
        <v>179</v>
      </c>
      <c r="T12" s="16"/>
      <c r="U12" s="49"/>
      <c r="V12" s="51" t="s">
        <v>22</v>
      </c>
      <c r="W12" s="10"/>
      <c r="X12" s="10"/>
    </row>
    <row r="13" spans="1:24" ht="15" thickBot="1" x14ac:dyDescent="0.35">
      <c r="A13" s="127" t="s">
        <v>180</v>
      </c>
      <c r="B13" s="128"/>
      <c r="C13" s="129"/>
      <c r="D13" s="34">
        <f>SUM(D11:D12)</f>
        <v>0</v>
      </c>
      <c r="E13" s="5"/>
      <c r="F13" s="10"/>
      <c r="G13" s="10"/>
      <c r="H13" s="130" t="s">
        <v>180</v>
      </c>
      <c r="I13" s="131"/>
      <c r="J13" s="131"/>
      <c r="K13" s="34">
        <f>SUM(K11,K12)</f>
        <v>0</v>
      </c>
      <c r="L13" s="39"/>
      <c r="M13" s="14" t="s">
        <v>164</v>
      </c>
      <c r="N13" s="47" t="s">
        <v>179</v>
      </c>
      <c r="O13" s="16"/>
      <c r="P13" s="49"/>
      <c r="Q13" s="45">
        <f>SUM(P11:P13)</f>
        <v>0</v>
      </c>
      <c r="R13" s="18" t="s">
        <v>166</v>
      </c>
      <c r="S13" s="47" t="s">
        <v>179</v>
      </c>
      <c r="T13" s="16"/>
      <c r="U13" s="49"/>
      <c r="V13" s="46">
        <f>SUM(U11:U13)</f>
        <v>0</v>
      </c>
      <c r="W13" s="10"/>
      <c r="X13" s="10"/>
    </row>
    <row r="14" spans="1:24" ht="15" thickBot="1" x14ac:dyDescent="0.35">
      <c r="A14" s="5"/>
      <c r="B14" s="5"/>
      <c r="C14" s="5"/>
      <c r="D14" s="5"/>
      <c r="E14" s="5"/>
      <c r="F14" s="10"/>
      <c r="G14" s="10"/>
      <c r="H14" s="10"/>
      <c r="I14" s="5"/>
      <c r="J14" s="5"/>
      <c r="K14" s="5"/>
      <c r="L14" s="39"/>
      <c r="M14" s="52" t="s">
        <v>164</v>
      </c>
      <c r="N14" s="53" t="s">
        <v>181</v>
      </c>
      <c r="O14" s="54"/>
      <c r="P14" s="55"/>
      <c r="Q14" s="26"/>
      <c r="R14" s="56" t="s">
        <v>166</v>
      </c>
      <c r="S14" s="53" t="s">
        <v>182</v>
      </c>
      <c r="T14" s="54"/>
      <c r="U14" s="55"/>
      <c r="V14" s="10"/>
      <c r="W14" s="10"/>
      <c r="X14" s="10"/>
    </row>
    <row r="15" spans="1:24" ht="15" thickBot="1" x14ac:dyDescent="0.35">
      <c r="A15" s="5"/>
      <c r="B15" s="5"/>
      <c r="C15" s="5"/>
      <c r="D15" s="5"/>
      <c r="E15" s="5"/>
      <c r="F15" s="10"/>
      <c r="G15" s="10"/>
      <c r="H15" s="10"/>
      <c r="I15" s="5"/>
      <c r="J15" s="5"/>
      <c r="K15" s="5"/>
      <c r="L15" s="39"/>
      <c r="M15" s="10"/>
      <c r="N15" s="10"/>
      <c r="O15" s="10"/>
      <c r="P15" s="10"/>
      <c r="Q15" s="26"/>
      <c r="R15" s="10"/>
      <c r="S15" s="10"/>
      <c r="T15" s="10"/>
      <c r="U15" s="10"/>
      <c r="V15" s="10"/>
      <c r="W15" s="10"/>
      <c r="X15" s="10"/>
    </row>
    <row r="16" spans="1:24" x14ac:dyDescent="0.3">
      <c r="A16" s="57" t="s">
        <v>183</v>
      </c>
      <c r="B16" s="58"/>
      <c r="C16" s="132" t="s">
        <v>184</v>
      </c>
      <c r="D16" s="135">
        <f>B16+B17+B18</f>
        <v>0</v>
      </c>
      <c r="E16" s="5"/>
      <c r="F16" s="5"/>
      <c r="G16" s="10"/>
      <c r="H16" s="57" t="s">
        <v>183</v>
      </c>
      <c r="I16" s="58"/>
      <c r="J16" s="138" t="s">
        <v>184</v>
      </c>
      <c r="K16" s="135">
        <f>I16+I17+I18</f>
        <v>0</v>
      </c>
      <c r="L16" s="39"/>
      <c r="M16" s="141" t="s">
        <v>156</v>
      </c>
      <c r="N16" s="142"/>
      <c r="O16" s="143"/>
      <c r="P16" s="10"/>
      <c r="Q16" s="26"/>
      <c r="R16" s="141" t="s">
        <v>185</v>
      </c>
      <c r="S16" s="142"/>
      <c r="T16" s="143"/>
      <c r="U16" s="10"/>
      <c r="V16" s="141" t="s">
        <v>186</v>
      </c>
      <c r="W16" s="142"/>
      <c r="X16" s="143"/>
    </row>
    <row r="17" spans="1:24" x14ac:dyDescent="0.3">
      <c r="A17" s="59" t="s">
        <v>187</v>
      </c>
      <c r="B17" s="16"/>
      <c r="C17" s="133"/>
      <c r="D17" s="136"/>
      <c r="E17" s="5"/>
      <c r="F17" s="5"/>
      <c r="G17" s="10"/>
      <c r="H17" s="59" t="s">
        <v>187</v>
      </c>
      <c r="I17" s="16"/>
      <c r="J17" s="139"/>
      <c r="K17" s="136"/>
      <c r="L17" s="39"/>
      <c r="M17" s="60"/>
      <c r="N17" s="61" t="s">
        <v>188</v>
      </c>
      <c r="O17" s="44" t="s">
        <v>189</v>
      </c>
      <c r="P17" s="10"/>
      <c r="Q17" s="26"/>
      <c r="R17" s="60"/>
      <c r="S17" s="61" t="s">
        <v>188</v>
      </c>
      <c r="T17" s="44" t="s">
        <v>189</v>
      </c>
      <c r="U17" s="10"/>
      <c r="V17" s="62"/>
      <c r="W17" s="61" t="s">
        <v>33</v>
      </c>
      <c r="X17" s="44" t="s">
        <v>12</v>
      </c>
    </row>
    <row r="18" spans="1:24" ht="15" thickBot="1" x14ac:dyDescent="0.35">
      <c r="A18" s="63" t="s">
        <v>190</v>
      </c>
      <c r="B18" s="64"/>
      <c r="C18" s="134"/>
      <c r="D18" s="137"/>
      <c r="E18" s="5"/>
      <c r="F18" s="5"/>
      <c r="G18" s="10"/>
      <c r="H18" s="63" t="s">
        <v>190</v>
      </c>
      <c r="I18" s="64"/>
      <c r="J18" s="140"/>
      <c r="K18" s="137"/>
      <c r="L18" s="39"/>
      <c r="M18" s="36" t="s">
        <v>22</v>
      </c>
      <c r="N18" s="65">
        <f>D6+D13+D16</f>
        <v>0</v>
      </c>
      <c r="O18" s="66">
        <f>N18-D37</f>
        <v>0</v>
      </c>
      <c r="P18" s="10"/>
      <c r="Q18" s="26"/>
      <c r="R18" s="67" t="s">
        <v>165</v>
      </c>
      <c r="S18" s="65">
        <f>K3+K5+K13+K16</f>
        <v>0</v>
      </c>
      <c r="T18" s="66">
        <f>S18-K32</f>
        <v>0</v>
      </c>
      <c r="U18" s="10"/>
      <c r="V18" s="67" t="s">
        <v>191</v>
      </c>
      <c r="W18" s="68">
        <f>(Q10+V10)*1.05</f>
        <v>0</v>
      </c>
      <c r="X18" s="69">
        <f>W18/3</f>
        <v>0</v>
      </c>
    </row>
    <row r="19" spans="1:24" ht="15" thickBot="1" x14ac:dyDescent="0.35">
      <c r="A19" s="5"/>
      <c r="B19" s="5"/>
      <c r="C19" s="5"/>
      <c r="D19" s="5"/>
      <c r="E19" s="5"/>
      <c r="F19" s="5"/>
      <c r="G19" s="10"/>
      <c r="H19" s="5"/>
      <c r="I19" s="5"/>
      <c r="J19" s="5"/>
      <c r="K19" s="5"/>
      <c r="L19" s="39"/>
      <c r="M19" s="70"/>
      <c r="N19" s="20"/>
      <c r="O19" s="71"/>
      <c r="P19" s="10"/>
      <c r="Q19" s="26"/>
      <c r="R19" s="72" t="s">
        <v>179</v>
      </c>
      <c r="S19" s="65">
        <f>K4+K6</f>
        <v>0</v>
      </c>
      <c r="T19" s="66">
        <f>S19-K37</f>
        <v>0</v>
      </c>
      <c r="U19" s="10"/>
      <c r="V19" s="73" t="s">
        <v>179</v>
      </c>
      <c r="W19" s="68">
        <f>(Q13+V13)*1.05</f>
        <v>0</v>
      </c>
      <c r="X19" s="69">
        <f>W19/3</f>
        <v>0</v>
      </c>
    </row>
    <row r="20" spans="1:24" ht="15" thickBot="1" x14ac:dyDescent="0.35">
      <c r="A20" s="118" t="s">
        <v>192</v>
      </c>
      <c r="B20" s="119"/>
      <c r="C20" s="119"/>
      <c r="D20" s="120"/>
      <c r="E20" s="74"/>
      <c r="F20" s="5"/>
      <c r="G20" s="144" t="s">
        <v>193</v>
      </c>
      <c r="H20" s="145"/>
      <c r="I20" s="145"/>
      <c r="J20" s="145"/>
      <c r="K20" s="146"/>
      <c r="L20" s="5"/>
      <c r="M20" s="75"/>
      <c r="N20" s="76"/>
      <c r="O20" s="77"/>
      <c r="P20" s="10"/>
      <c r="Q20" s="26"/>
      <c r="R20" s="36" t="s">
        <v>22</v>
      </c>
      <c r="S20" s="78">
        <f>K7+K13+K16</f>
        <v>0</v>
      </c>
      <c r="T20" s="79">
        <f>S20-K38</f>
        <v>0</v>
      </c>
      <c r="U20" s="10"/>
      <c r="V20" s="80" t="s">
        <v>194</v>
      </c>
      <c r="W20" s="81">
        <f>(P14+U14)*1.05</f>
        <v>0</v>
      </c>
      <c r="X20" s="82">
        <f>W20/(1.2*2.4)</f>
        <v>0</v>
      </c>
    </row>
    <row r="21" spans="1:24" ht="15" thickBot="1" x14ac:dyDescent="0.35">
      <c r="A21" s="83" t="s">
        <v>12</v>
      </c>
      <c r="B21" s="84" t="s">
        <v>195</v>
      </c>
      <c r="C21" s="84" t="s">
        <v>196</v>
      </c>
      <c r="D21" s="44"/>
      <c r="E21" s="5"/>
      <c r="F21" s="5"/>
      <c r="G21" s="83" t="s">
        <v>197</v>
      </c>
      <c r="H21" s="84" t="s">
        <v>12</v>
      </c>
      <c r="I21" s="84" t="s">
        <v>195</v>
      </c>
      <c r="J21" s="84" t="s">
        <v>196</v>
      </c>
      <c r="K21" s="44"/>
      <c r="L21" s="5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3">
      <c r="A22" s="19"/>
      <c r="B22" s="16"/>
      <c r="C22" s="16"/>
      <c r="D22" s="22">
        <f t="shared" ref="D22:D31" si="1">A22*B22*C22</f>
        <v>0</v>
      </c>
      <c r="E22" s="5"/>
      <c r="F22" s="5"/>
      <c r="G22" s="85"/>
      <c r="H22" s="16"/>
      <c r="I22" s="16"/>
      <c r="J22" s="16"/>
      <c r="K22" s="24">
        <f t="shared" ref="K22:K31" si="2">G22*H22*I22*J22</f>
        <v>0</v>
      </c>
      <c r="L22" s="86"/>
      <c r="M22" s="124" t="s">
        <v>31</v>
      </c>
      <c r="N22" s="125"/>
      <c r="O22" s="126"/>
      <c r="P22" s="10"/>
      <c r="Q22" s="26"/>
      <c r="R22" s="124" t="s">
        <v>58</v>
      </c>
      <c r="S22" s="125"/>
      <c r="T22" s="126"/>
      <c r="U22" s="10"/>
      <c r="V22" s="87"/>
      <c r="W22" s="88" t="s">
        <v>198</v>
      </c>
      <c r="X22" s="89" t="s">
        <v>12</v>
      </c>
    </row>
    <row r="23" spans="1:24" ht="15" thickBot="1" x14ac:dyDescent="0.35">
      <c r="A23" s="19"/>
      <c r="B23" s="16"/>
      <c r="C23" s="16"/>
      <c r="D23" s="22">
        <f>A23*B23*C23</f>
        <v>0</v>
      </c>
      <c r="E23" s="5"/>
      <c r="F23" s="5"/>
      <c r="G23" s="85"/>
      <c r="H23" s="16"/>
      <c r="I23" s="16"/>
      <c r="J23" s="16"/>
      <c r="K23" s="24">
        <f t="shared" si="2"/>
        <v>0</v>
      </c>
      <c r="L23" s="86"/>
      <c r="M23" s="60"/>
      <c r="N23" s="90" t="s">
        <v>199</v>
      </c>
      <c r="O23" s="44" t="s">
        <v>12</v>
      </c>
      <c r="P23" s="10"/>
      <c r="Q23" s="10"/>
      <c r="R23" s="60"/>
      <c r="S23" s="90" t="s">
        <v>200</v>
      </c>
      <c r="T23" s="44" t="s">
        <v>12</v>
      </c>
      <c r="U23" s="10"/>
      <c r="V23" s="31" t="s">
        <v>25</v>
      </c>
      <c r="W23" s="91">
        <f>I7+O14+T14-W25</f>
        <v>0</v>
      </c>
      <c r="X23" s="92">
        <f>W23/2.5</f>
        <v>0</v>
      </c>
    </row>
    <row r="24" spans="1:24" ht="15" thickBot="1" x14ac:dyDescent="0.35">
      <c r="A24" s="19"/>
      <c r="B24" s="16"/>
      <c r="C24" s="16"/>
      <c r="D24" s="22">
        <f>A24*B24*C24</f>
        <v>0</v>
      </c>
      <c r="E24" s="5"/>
      <c r="F24" s="5"/>
      <c r="G24" s="85"/>
      <c r="H24" s="16"/>
      <c r="I24" s="16"/>
      <c r="J24" s="16"/>
      <c r="K24" s="24">
        <f>G24*H24*I24*J24</f>
        <v>0</v>
      </c>
      <c r="L24" s="86"/>
      <c r="M24" s="156" t="s">
        <v>201</v>
      </c>
      <c r="N24" s="152">
        <f>O18+(O18*(8/100))</f>
        <v>0</v>
      </c>
      <c r="O24" s="153">
        <f>N24/(1.2*2.4)</f>
        <v>0</v>
      </c>
      <c r="P24" s="10"/>
      <c r="Q24" s="10"/>
      <c r="R24" s="156" t="s">
        <v>202</v>
      </c>
      <c r="S24" s="152">
        <f>T18+(T18*(5/100))</f>
        <v>0</v>
      </c>
      <c r="T24" s="153">
        <f>S24/(1.2*2.5)</f>
        <v>0</v>
      </c>
      <c r="U24" s="10"/>
      <c r="V24" s="10"/>
      <c r="W24" s="10"/>
      <c r="X24" s="10"/>
    </row>
    <row r="25" spans="1:24" x14ac:dyDescent="0.3">
      <c r="A25" s="19"/>
      <c r="B25" s="16"/>
      <c r="C25" s="16"/>
      <c r="D25" s="22">
        <f>A25*B25*C25</f>
        <v>0</v>
      </c>
      <c r="E25" s="5"/>
      <c r="F25" s="5"/>
      <c r="G25" s="85"/>
      <c r="H25" s="16"/>
      <c r="I25" s="16"/>
      <c r="J25" s="16"/>
      <c r="K25" s="24">
        <f t="shared" si="2"/>
        <v>0</v>
      </c>
      <c r="L25" s="86"/>
      <c r="M25" s="156"/>
      <c r="N25" s="152"/>
      <c r="O25" s="153"/>
      <c r="P25" s="10"/>
      <c r="Q25" s="10"/>
      <c r="R25" s="156"/>
      <c r="S25" s="152"/>
      <c r="T25" s="153"/>
      <c r="U25" s="10"/>
      <c r="V25" s="147" t="s">
        <v>203</v>
      </c>
      <c r="W25" s="149"/>
      <c r="X25" s="10"/>
    </row>
    <row r="26" spans="1:24" ht="15" thickBot="1" x14ac:dyDescent="0.35">
      <c r="A26" s="19"/>
      <c r="B26" s="16"/>
      <c r="C26" s="16"/>
      <c r="D26" s="22">
        <f>A26*B26*C26</f>
        <v>0</v>
      </c>
      <c r="E26" s="5"/>
      <c r="F26" s="5"/>
      <c r="G26" s="85"/>
      <c r="H26" s="16"/>
      <c r="I26" s="16"/>
      <c r="J26" s="16"/>
      <c r="K26" s="24">
        <f t="shared" si="2"/>
        <v>0</v>
      </c>
      <c r="L26" s="86"/>
      <c r="M26" s="151" t="s">
        <v>204</v>
      </c>
      <c r="N26" s="152">
        <f>O18+(O18*(8/100))</f>
        <v>0</v>
      </c>
      <c r="O26" s="153">
        <f>N26</f>
        <v>0</v>
      </c>
      <c r="P26" s="10"/>
      <c r="Q26" s="10"/>
      <c r="R26" s="151" t="s">
        <v>205</v>
      </c>
      <c r="S26" s="154">
        <f>T19+(T19*(5/100))</f>
        <v>0</v>
      </c>
      <c r="T26" s="153">
        <f>S26/(1.2*2.5)</f>
        <v>0</v>
      </c>
      <c r="U26" s="10"/>
      <c r="V26" s="148"/>
      <c r="W26" s="150"/>
      <c r="X26" s="10"/>
    </row>
    <row r="27" spans="1:24" x14ac:dyDescent="0.3">
      <c r="A27" s="19"/>
      <c r="B27" s="16"/>
      <c r="C27" s="16"/>
      <c r="D27" s="22">
        <f>A27*B27*C27</f>
        <v>0</v>
      </c>
      <c r="E27" s="5"/>
      <c r="F27" s="5"/>
      <c r="G27" s="85"/>
      <c r="H27" s="16"/>
      <c r="I27" s="16"/>
      <c r="J27" s="16"/>
      <c r="K27" s="24">
        <f t="shared" si="2"/>
        <v>0</v>
      </c>
      <c r="L27" s="86"/>
      <c r="M27" s="151"/>
      <c r="N27" s="152"/>
      <c r="O27" s="153"/>
      <c r="P27" s="10"/>
      <c r="Q27" s="10"/>
      <c r="R27" s="151"/>
      <c r="S27" s="155"/>
      <c r="T27" s="153"/>
      <c r="U27" s="10"/>
      <c r="V27" s="10"/>
      <c r="W27" s="10"/>
      <c r="X27" s="10"/>
    </row>
    <row r="28" spans="1:24" x14ac:dyDescent="0.3">
      <c r="A28" s="16"/>
      <c r="B28" s="16"/>
      <c r="C28" s="16"/>
      <c r="D28" s="22">
        <f t="shared" si="1"/>
        <v>0</v>
      </c>
      <c r="E28" s="5"/>
      <c r="F28" s="5"/>
      <c r="G28" s="85"/>
      <c r="H28" s="16"/>
      <c r="I28" s="16"/>
      <c r="J28" s="16"/>
      <c r="K28" s="24">
        <f t="shared" si="2"/>
        <v>0</v>
      </c>
      <c r="L28" s="93"/>
      <c r="M28" s="172" t="s">
        <v>206</v>
      </c>
      <c r="N28" s="157">
        <f>O18+(O18*(8/100))</f>
        <v>0</v>
      </c>
      <c r="O28" s="159">
        <f>N28/(1.2*2.5)</f>
        <v>0</v>
      </c>
      <c r="P28" s="10"/>
      <c r="Q28" s="26"/>
      <c r="R28" s="161" t="s">
        <v>207</v>
      </c>
      <c r="S28" s="157">
        <f>T20+(T20*(5/100))</f>
        <v>0</v>
      </c>
      <c r="T28" s="159">
        <f>S28/(1.22*2.44)</f>
        <v>0</v>
      </c>
      <c r="U28" s="10"/>
      <c r="V28" s="10"/>
      <c r="W28" s="10"/>
      <c r="X28" s="10"/>
    </row>
    <row r="29" spans="1:24" ht="15" thickBot="1" x14ac:dyDescent="0.35">
      <c r="A29" s="16"/>
      <c r="B29" s="16"/>
      <c r="C29" s="16"/>
      <c r="D29" s="22">
        <f t="shared" si="1"/>
        <v>0</v>
      </c>
      <c r="E29" s="5"/>
      <c r="F29" s="5"/>
      <c r="G29" s="85"/>
      <c r="H29" s="16"/>
      <c r="I29" s="16"/>
      <c r="J29" s="16"/>
      <c r="K29" s="24">
        <f t="shared" si="2"/>
        <v>0</v>
      </c>
      <c r="L29" s="93"/>
      <c r="M29" s="173"/>
      <c r="N29" s="158"/>
      <c r="O29" s="160"/>
      <c r="P29" s="10"/>
      <c r="Q29" s="10"/>
      <c r="R29" s="162"/>
      <c r="S29" s="158"/>
      <c r="T29" s="160"/>
      <c r="U29" s="10"/>
      <c r="V29" s="10"/>
      <c r="W29" s="10"/>
      <c r="X29" s="10"/>
    </row>
    <row r="30" spans="1:24" x14ac:dyDescent="0.3">
      <c r="A30" s="94"/>
      <c r="B30" s="16"/>
      <c r="C30" s="16"/>
      <c r="D30" s="22">
        <f t="shared" si="1"/>
        <v>0</v>
      </c>
      <c r="E30" s="5"/>
      <c r="F30" s="5"/>
      <c r="G30" s="85"/>
      <c r="H30" s="16"/>
      <c r="I30" s="16"/>
      <c r="J30" s="16"/>
      <c r="K30" s="24">
        <f t="shared" si="2"/>
        <v>0</v>
      </c>
      <c r="L30" s="93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3">
      <c r="A31" s="94"/>
      <c r="B31" s="16"/>
      <c r="C31" s="16"/>
      <c r="D31" s="22">
        <f t="shared" si="1"/>
        <v>0</v>
      </c>
      <c r="E31" s="5"/>
      <c r="F31" s="5"/>
      <c r="G31" s="85"/>
      <c r="H31" s="16"/>
      <c r="I31" s="16"/>
      <c r="J31" s="16"/>
      <c r="K31" s="24">
        <f t="shared" si="2"/>
        <v>0</v>
      </c>
      <c r="L31" s="93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5" thickBot="1" x14ac:dyDescent="0.35">
      <c r="A32" s="19"/>
      <c r="B32" s="16"/>
      <c r="C32" s="16"/>
      <c r="D32" s="22">
        <f>A32*B32*C32</f>
        <v>0</v>
      </c>
      <c r="E32" s="5"/>
      <c r="F32" s="5"/>
      <c r="G32" s="163" t="s">
        <v>208</v>
      </c>
      <c r="H32" s="164"/>
      <c r="I32" s="164"/>
      <c r="J32" s="165"/>
      <c r="K32" s="38">
        <f>SUM(K22:K31)</f>
        <v>0</v>
      </c>
      <c r="L32" s="8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x14ac:dyDescent="0.3">
      <c r="A33" s="19"/>
      <c r="B33" s="16"/>
      <c r="C33" s="16"/>
      <c r="D33" s="22">
        <f t="shared" ref="D33:D34" si="3">A33*B33*C33</f>
        <v>0</v>
      </c>
      <c r="E33" s="5"/>
      <c r="F33" s="5"/>
      <c r="G33" s="166" t="s">
        <v>209</v>
      </c>
      <c r="H33" s="167"/>
      <c r="I33" s="167"/>
      <c r="J33" s="167"/>
      <c r="K33" s="168"/>
      <c r="L33" s="5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x14ac:dyDescent="0.3">
      <c r="A34" s="19"/>
      <c r="B34" s="16"/>
      <c r="C34" s="16"/>
      <c r="D34" s="22">
        <f t="shared" si="3"/>
        <v>0</v>
      </c>
      <c r="E34" s="5"/>
      <c r="F34" s="5"/>
      <c r="G34" s="85"/>
      <c r="H34" s="16"/>
      <c r="I34" s="16"/>
      <c r="J34" s="16"/>
      <c r="K34" s="24">
        <f t="shared" ref="K34:K36" si="4">H34*I34*J34*G34</f>
        <v>0</v>
      </c>
      <c r="L34" s="93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x14ac:dyDescent="0.3">
      <c r="A35" s="19"/>
      <c r="B35" s="16"/>
      <c r="C35" s="16"/>
      <c r="D35" s="22">
        <f>A35*B35*C35</f>
        <v>0</v>
      </c>
      <c r="E35" s="5"/>
      <c r="F35" s="5"/>
      <c r="G35" s="85"/>
      <c r="H35" s="16"/>
      <c r="I35" s="16"/>
      <c r="J35" s="16"/>
      <c r="K35" s="24">
        <f t="shared" si="4"/>
        <v>0</v>
      </c>
      <c r="L35" s="9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3">
      <c r="A36" s="19"/>
      <c r="B36" s="16"/>
      <c r="C36" s="16"/>
      <c r="D36" s="22">
        <f>A36*B36*C36</f>
        <v>0</v>
      </c>
      <c r="E36" s="5"/>
      <c r="F36" s="5"/>
      <c r="G36" s="95"/>
      <c r="H36" s="96"/>
      <c r="I36" s="96"/>
      <c r="J36" s="96"/>
      <c r="K36" s="24">
        <f t="shared" si="4"/>
        <v>0</v>
      </c>
      <c r="L36" s="30"/>
      <c r="M36" s="10"/>
      <c r="N36" s="10"/>
      <c r="O36" s="10"/>
      <c r="P36" s="10"/>
      <c r="Q36" s="26"/>
      <c r="R36" s="10"/>
      <c r="S36" s="10"/>
      <c r="T36" s="10"/>
      <c r="U36" s="10"/>
      <c r="V36" s="10"/>
      <c r="W36" s="10"/>
      <c r="X36" s="10"/>
    </row>
    <row r="37" spans="1:24" ht="15" thickBot="1" x14ac:dyDescent="0.35">
      <c r="A37" s="31"/>
      <c r="B37" s="32"/>
      <c r="C37" s="33" t="s">
        <v>210</v>
      </c>
      <c r="D37" s="34">
        <f>SUM(D22:D36)</f>
        <v>0</v>
      </c>
      <c r="E37" s="5"/>
      <c r="F37" s="5"/>
      <c r="G37" s="169" t="s">
        <v>211</v>
      </c>
      <c r="H37" s="170"/>
      <c r="I37" s="170"/>
      <c r="J37" s="171"/>
      <c r="K37" s="97">
        <f>SUM(K34:K36)</f>
        <v>0</v>
      </c>
      <c r="L37" s="5"/>
      <c r="M37" s="10"/>
      <c r="N37" s="10"/>
      <c r="O37" s="10"/>
      <c r="P37" s="10"/>
      <c r="Q37" s="26"/>
      <c r="R37" s="10"/>
      <c r="S37" s="10"/>
      <c r="T37" s="10"/>
      <c r="U37" s="10"/>
      <c r="V37" s="10"/>
      <c r="W37" s="10"/>
      <c r="X37" s="10"/>
    </row>
    <row r="38" spans="1:24" ht="15" thickBot="1" x14ac:dyDescent="0.35">
      <c r="A38" s="10"/>
      <c r="B38" s="10"/>
      <c r="C38" s="10"/>
      <c r="D38" s="10"/>
      <c r="E38" s="5"/>
      <c r="F38" s="5"/>
      <c r="G38" s="127" t="s">
        <v>212</v>
      </c>
      <c r="H38" s="128"/>
      <c r="I38" s="128"/>
      <c r="J38" s="129"/>
      <c r="K38" s="38">
        <f>SUM(K32+K37)</f>
        <v>0</v>
      </c>
      <c r="L38" s="5"/>
      <c r="M38" s="10"/>
      <c r="N38" s="10"/>
      <c r="O38" s="10"/>
      <c r="P38" s="10"/>
      <c r="Q38" s="26"/>
      <c r="R38" s="10"/>
      <c r="S38" s="10"/>
      <c r="T38" s="10"/>
      <c r="U38" s="10"/>
      <c r="V38" s="10"/>
      <c r="W38" s="10"/>
      <c r="X38" s="10"/>
    </row>
  </sheetData>
  <mergeCells count="43">
    <mergeCell ref="G32:J32"/>
    <mergeCell ref="G33:K33"/>
    <mergeCell ref="G37:J37"/>
    <mergeCell ref="G38:J38"/>
    <mergeCell ref="M28:M29"/>
    <mergeCell ref="T24:T25"/>
    <mergeCell ref="N28:N29"/>
    <mergeCell ref="O28:O29"/>
    <mergeCell ref="R28:R29"/>
    <mergeCell ref="S28:S29"/>
    <mergeCell ref="T28:T29"/>
    <mergeCell ref="V16:X16"/>
    <mergeCell ref="A20:D20"/>
    <mergeCell ref="G20:K20"/>
    <mergeCell ref="V25:V26"/>
    <mergeCell ref="W25:W26"/>
    <mergeCell ref="M26:M27"/>
    <mergeCell ref="N26:N27"/>
    <mergeCell ref="O26:O27"/>
    <mergeCell ref="R26:R27"/>
    <mergeCell ref="S26:S27"/>
    <mergeCell ref="T26:T27"/>
    <mergeCell ref="M24:M25"/>
    <mergeCell ref="N24:N25"/>
    <mergeCell ref="O24:O25"/>
    <mergeCell ref="R24:R25"/>
    <mergeCell ref="S24:S25"/>
    <mergeCell ref="M22:O22"/>
    <mergeCell ref="R22:T22"/>
    <mergeCell ref="A13:C13"/>
    <mergeCell ref="H13:J13"/>
    <mergeCell ref="C16:C18"/>
    <mergeCell ref="D16:D18"/>
    <mergeCell ref="J16:J18"/>
    <mergeCell ref="K16:K18"/>
    <mergeCell ref="M16:O16"/>
    <mergeCell ref="R16:T16"/>
    <mergeCell ref="A1:D1"/>
    <mergeCell ref="F1:F2"/>
    <mergeCell ref="H1:K1"/>
    <mergeCell ref="F5:F6"/>
    <mergeCell ref="A9:D9"/>
    <mergeCell ref="H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PREFABRİK</vt:lpstr>
      <vt:lpstr>BATUHAN TINMAZ</vt:lpstr>
      <vt:lpstr>PREFABRİK!Yazdırma_Alanı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Satış Sonrası 1</dc:creator>
  <cp:lastModifiedBy>user</cp:lastModifiedBy>
  <cp:lastPrinted>2026-09-29T08:06:43Z</cp:lastPrinted>
  <dcterms:created xsi:type="dcterms:W3CDTF">2015-06-05T18:19:34Z</dcterms:created>
  <dcterms:modified xsi:type="dcterms:W3CDTF">2026-09-29T08:06:46Z</dcterms:modified>
</cp:coreProperties>
</file>
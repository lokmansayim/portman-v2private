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PORTATIFEV-MOZER\1. Projeler\1. Prefabrik\70. HUMA PREFABRIK 60M2\10. FABRIKAYA VERILEN\"/>
    </mc:Choice>
  </mc:AlternateContent>
  <xr:revisionPtr revIDLastSave="0" documentId="13_ncr:1_{7C85CE14-264C-4E3B-8F39-EAF0445F8131}" xr6:coauthVersionLast="47" xr6:coauthVersionMax="47" xr10:uidLastSave="{00000000-0000-0000-0000-000000000000}"/>
  <bookViews>
    <workbookView xWindow="28680" yWindow="-5490" windowWidth="38640" windowHeight="21240" tabRatio="929" xr2:uid="{00000000-000D-0000-FFFF-FFFF00000000}"/>
  </bookViews>
  <sheets>
    <sheet name="1 KATLI" sheetId="29" r:id="rId1"/>
  </sheets>
  <definedNames>
    <definedName name="_xlnm._FilterDatabase" localSheetId="0" hidden="1">'1 KATLI'!$A$10:$C$11</definedName>
    <definedName name="_xlnm.Print_Area" localSheetId="0">'1 KATLI'!$A$1:$E$141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6" i="29" l="1"/>
  <c r="F97" i="29"/>
  <c r="F60" i="29"/>
  <c r="F66" i="29"/>
  <c r="F99" i="29"/>
  <c r="F78" i="29"/>
  <c r="F77" i="29"/>
  <c r="F67" i="29"/>
  <c r="G140" i="29"/>
  <c r="G138" i="29"/>
  <c r="G134" i="29"/>
  <c r="G118" i="29"/>
  <c r="G117" i="29"/>
  <c r="G131" i="29"/>
  <c r="G128" i="29"/>
  <c r="G111" i="29"/>
  <c r="G110" i="29"/>
  <c r="G109" i="29"/>
  <c r="G108" i="29"/>
  <c r="G107" i="29"/>
  <c r="G106" i="29"/>
  <c r="G104" i="29"/>
  <c r="G103" i="29"/>
  <c r="G102" i="29"/>
  <c r="F80" i="29"/>
  <c r="F75" i="29"/>
  <c r="F73" i="29"/>
  <c r="F72" i="29"/>
  <c r="F71" i="29"/>
  <c r="F70" i="29"/>
  <c r="F64" i="29"/>
  <c r="F63" i="29"/>
  <c r="F61" i="29"/>
  <c r="F59" i="29"/>
  <c r="F58" i="29"/>
  <c r="F57" i="29"/>
  <c r="F56" i="29"/>
  <c r="F55" i="29"/>
  <c r="G71" i="29"/>
  <c r="G86" i="29"/>
  <c r="G75" i="29"/>
  <c r="G84" i="29"/>
  <c r="G83" i="29" l="1"/>
  <c r="G136" i="29"/>
  <c r="G135" i="29"/>
  <c r="G132" i="29"/>
  <c r="G130" i="29"/>
  <c r="G129" i="29"/>
  <c r="G127" i="29"/>
  <c r="G126" i="29"/>
  <c r="G125" i="29"/>
  <c r="G124" i="29"/>
  <c r="G123" i="29"/>
  <c r="G122" i="29"/>
  <c r="G121" i="29"/>
  <c r="G120" i="29"/>
  <c r="G119" i="29"/>
  <c r="G115" i="29"/>
  <c r="G114" i="29"/>
  <c r="G99" i="29"/>
  <c r="G93" i="29"/>
  <c r="G91" i="29"/>
  <c r="G90" i="29"/>
  <c r="G87" i="29"/>
  <c r="G85" i="29"/>
  <c r="G82" i="29"/>
  <c r="G81" i="29"/>
  <c r="G80" i="29"/>
  <c r="G78" i="29"/>
  <c r="G77" i="29"/>
  <c r="G73" i="29"/>
  <c r="G72" i="29"/>
  <c r="G70" i="29"/>
  <c r="G67" i="29"/>
  <c r="G66" i="29"/>
  <c r="G64" i="29"/>
  <c r="G63" i="29"/>
  <c r="G62" i="29"/>
  <c r="G61" i="29"/>
  <c r="G60" i="29"/>
  <c r="G59" i="29"/>
  <c r="G57" i="29"/>
  <c r="G58" i="29"/>
  <c r="G56" i="29"/>
  <c r="G43" i="29"/>
  <c r="G39" i="29"/>
  <c r="G54" i="29"/>
  <c r="G53" i="29"/>
  <c r="G139" i="29" l="1"/>
  <c r="W20" i="29" l="1"/>
  <c r="Q20" i="29"/>
  <c r="W19" i="29"/>
  <c r="Q19" i="29"/>
  <c r="W17" i="29"/>
  <c r="Q17" i="29"/>
  <c r="K24" i="29"/>
  <c r="K19" i="29" l="1"/>
  <c r="K20" i="29"/>
  <c r="K17" i="29"/>
  <c r="G116" i="29"/>
  <c r="G105" i="29"/>
  <c r="G100" i="29"/>
  <c r="G88" i="29"/>
  <c r="G51" i="29" l="1"/>
</calcChain>
</file>

<file path=xl/sharedStrings.xml><?xml version="1.0" encoding="utf-8"?>
<sst xmlns="http://schemas.openxmlformats.org/spreadsheetml/2006/main" count="427" uniqueCount="278">
  <si>
    <t>ADET</t>
  </si>
  <si>
    <t>Adet</t>
  </si>
  <si>
    <t>İZOLE BANT</t>
  </si>
  <si>
    <t>Poliüretan Köpük</t>
  </si>
  <si>
    <t xml:space="preserve">SİGORTA KUTUSU </t>
  </si>
  <si>
    <t>W OTOMAT (SİGORTA)</t>
  </si>
  <si>
    <t xml:space="preserve">BUAT KASA </t>
  </si>
  <si>
    <t>L:2800</t>
  </si>
  <si>
    <t>1200*2500</t>
  </si>
  <si>
    <t>UYDU KABLO</t>
  </si>
  <si>
    <t>METRE</t>
  </si>
  <si>
    <t>ALÇIPAN VİDASI  ( 3.5 x 35 )</t>
  </si>
  <si>
    <t>RYSB PUL BAŞLI  ( 3.9 x 32 )</t>
  </si>
  <si>
    <t>8 LİK TRAPEZ UÇ</t>
  </si>
  <si>
    <t>PH2 UÇ</t>
  </si>
  <si>
    <t>230 LUK KESME TAŞI</t>
  </si>
  <si>
    <t>TİJLİ DUY</t>
  </si>
  <si>
    <t>KAPI VE PENCERE GRUBU</t>
  </si>
  <si>
    <t>ELEKTRİK GRUBU</t>
  </si>
  <si>
    <t>VİDA GRUBU</t>
  </si>
  <si>
    <t>METAL DERE İNİŞİ APARATI</t>
  </si>
  <si>
    <t>BOYA GRUBU</t>
  </si>
  <si>
    <t>L:4000</t>
  </si>
  <si>
    <t>DERE KELEPÇESİ</t>
  </si>
  <si>
    <t>MÜŞTERİ AD SOYAD</t>
  </si>
  <si>
    <t>SEVKİYAT YERİ</t>
  </si>
  <si>
    <t>HAZIRLANMA BİLGİLERİ</t>
  </si>
  <si>
    <t>HAZIRLAYAN</t>
  </si>
  <si>
    <t>TARİH</t>
  </si>
  <si>
    <t>KONTROL</t>
  </si>
  <si>
    <t>İLETİŞİM NUMARASI</t>
  </si>
  <si>
    <t>BOYUT</t>
  </si>
  <si>
    <t>METAL AKSAM GRUBU</t>
  </si>
  <si>
    <t>ÇATI KAPLAMALARI GRUBU</t>
  </si>
  <si>
    <t>SIHHİ TESİSAT GRUBU</t>
  </si>
  <si>
    <t>DERE GRUBU</t>
  </si>
  <si>
    <t>BİNA M2 / KAT ADEDİ / KAT YÜKSEKLİĞİ</t>
  </si>
  <si>
    <t xml:space="preserve">BOYUT </t>
  </si>
  <si>
    <t>ŞASE PUL</t>
  </si>
  <si>
    <t>L:2500</t>
  </si>
  <si>
    <t>16  Amper</t>
  </si>
  <si>
    <t>100*2500</t>
  </si>
  <si>
    <t>SATIŞ TEMSİLCİSİ</t>
  </si>
  <si>
    <t>KÖŞEBENT</t>
  </si>
  <si>
    <t>60*3750</t>
  </si>
  <si>
    <t>100'LÜK SAÇAK OMEGASI</t>
  </si>
  <si>
    <t>1250*2500</t>
  </si>
  <si>
    <t>100'LÜK DUVAR OMEGASI</t>
  </si>
  <si>
    <t>70 MM PVC DERE İNİŞ BORUSU</t>
  </si>
  <si>
    <t>AÇIK DİRSEK</t>
  </si>
  <si>
    <t>KAPALI  DİRSEK</t>
  </si>
  <si>
    <t>DEPO GRUBU</t>
  </si>
  <si>
    <t>İÇ CEPHE KAPLAMALARI GRUBU</t>
  </si>
  <si>
    <t>8*1200*2400</t>
  </si>
  <si>
    <t>MAKAS GRUBU</t>
  </si>
  <si>
    <t>L: 2800</t>
  </si>
  <si>
    <t>DIŞ CEPHE KAPLAMALARI GRUBU</t>
  </si>
  <si>
    <t>UYDU  PRİZİ ( TAKIM )</t>
  </si>
  <si>
    <t>TEKLİ ANAHTAR ( TAKIM )</t>
  </si>
  <si>
    <t>NYM KABLO (3 x 2.5)</t>
  </si>
  <si>
    <t>NYM KABLO (2 x 1.5)</t>
  </si>
  <si>
    <t>ÇİFTLİ ANAHTAR ( TAKIM )</t>
  </si>
  <si>
    <t>YAPIŞTIRMA VE KARKASLI PANEL GRUBU</t>
  </si>
  <si>
    <t>100'LÜK YAPIŞTIRMA DOLU PANO</t>
  </si>
  <si>
    <t>100x1250x2500</t>
  </si>
  <si>
    <t>100x625x2500</t>
  </si>
  <si>
    <t>100'LÜK YAPIŞTIRMA DOLU VASİSTASLI PANO (60/40)</t>
  </si>
  <si>
    <t>60'LIK YAPIŞTIRMA DOLU PANO</t>
  </si>
  <si>
    <t>60x1250x2500</t>
  </si>
  <si>
    <t>PENCERE ÜST PANEL</t>
  </si>
  <si>
    <t>100x1250x500</t>
  </si>
  <si>
    <t>PENCERE ALT PANEL (120/120)</t>
  </si>
  <si>
    <t>100x1250x800</t>
  </si>
  <si>
    <t>PENCERE ALT PANEL (120/180)</t>
  </si>
  <si>
    <t>100x1250x200</t>
  </si>
  <si>
    <t>100x100x2500</t>
  </si>
  <si>
    <t>60x60x2500</t>
  </si>
  <si>
    <t>100*100*2500</t>
  </si>
  <si>
    <t>PROFİL VİDALAMA APARATI</t>
  </si>
  <si>
    <t>60*60*2500</t>
  </si>
  <si>
    <t>100*100*60*2500</t>
  </si>
  <si>
    <t>ÇEKTİRME U'SU (60 LIK)</t>
  </si>
  <si>
    <t>60*2440</t>
  </si>
  <si>
    <t>ÇEKTİRME U'SU (100 LÜK)</t>
  </si>
  <si>
    <t>100*2440</t>
  </si>
  <si>
    <t>100'LÜK PENCERE U SU H GEÇEN</t>
  </si>
  <si>
    <t>BAŞ MAKAS OMEGASI</t>
  </si>
  <si>
    <t>BAŞ MAKAS Z'Sİ</t>
  </si>
  <si>
    <t>BAŞ MAKAS BETOPANI</t>
  </si>
  <si>
    <t>100'LÜK ALT ÇERÇEVE</t>
  </si>
  <si>
    <t>100*3750</t>
  </si>
  <si>
    <t>60'LIK ALT ÇERÇEVE</t>
  </si>
  <si>
    <t>AŞIK</t>
  </si>
  <si>
    <t xml:space="preserve">ÇELİK DÜBEL </t>
  </si>
  <si>
    <t>KARKASLI ÇELİK KAPI PANOSU</t>
  </si>
  <si>
    <t>82*196</t>
  </si>
  <si>
    <t>( ASMA / TERS )TAVAN BEYAZ ALÇIPAN</t>
  </si>
  <si>
    <t>( ASMA / TERS) TAVAN YEŞİL ALÇIPAN</t>
  </si>
  <si>
    <t>16 MM BETOPAN VE KAPI KOLLARI ( 3.9 x 32)</t>
  </si>
  <si>
    <t>TEKLİ PRİZ ( TAKIM )</t>
  </si>
  <si>
    <t>ÇİFTLİ PRİZ (TAKIM)</t>
  </si>
  <si>
    <t>L:4200</t>
  </si>
  <si>
    <t>İNOX TAŞ</t>
  </si>
  <si>
    <t>ÇIRPI İPİ</t>
  </si>
  <si>
    <t>ZİL</t>
  </si>
  <si>
    <t>AMPUL</t>
  </si>
  <si>
    <t>BESLEME KABLO BORUSU</t>
  </si>
  <si>
    <t>60*2500</t>
  </si>
  <si>
    <t>300*2500</t>
  </si>
  <si>
    <t>PVC İNİŞ KELEPÇESİ</t>
  </si>
  <si>
    <t>UBEYDULLAH ÖZER</t>
  </si>
  <si>
    <t>12 Lİ</t>
  </si>
  <si>
    <t>Köpük standart 2 adet</t>
  </si>
  <si>
    <t>PORTATİFEV YÜKLEME LİSTESİ</t>
  </si>
  <si>
    <t>AÇIKLAMA</t>
  </si>
  <si>
    <t>60x1200x2500</t>
  </si>
  <si>
    <t xml:space="preserve">60'LIK KARKASLI + KASALI  PANOLAR                </t>
  </si>
  <si>
    <t>60x1220x2500</t>
  </si>
  <si>
    <t>H (DÜBELLİ&amp;KULAKLI)</t>
  </si>
  <si>
    <t>H (DÜBELLİ )</t>
  </si>
  <si>
    <t>H (STANDART )</t>
  </si>
  <si>
    <t>3 LÜ H (DÜBELLİ VE KULAKLI)</t>
  </si>
  <si>
    <t>3 LÜ H (STANDART)</t>
  </si>
  <si>
    <t>3 LÜ H (DÜBELLİ)</t>
  </si>
  <si>
    <t xml:space="preserve">MAKAS </t>
  </si>
  <si>
    <t>80X0.8</t>
  </si>
  <si>
    <t>MAHYA BANDI</t>
  </si>
  <si>
    <t>RULO/ 10 M</t>
  </si>
  <si>
    <t>VERANDA-SUNDURMA-BALKON TAVAN BOARDEX</t>
  </si>
  <si>
    <t>ACİL MÜDAHELE KAPAĞI</t>
  </si>
  <si>
    <t xml:space="preserve">YUVARLAK GLOP </t>
  </si>
  <si>
    <t>WC ADET</t>
  </si>
  <si>
    <t>( 5.5 x 25 ) TRAPEZ VİDA (AŞIK+OMEGA+KÖŞEBENT)</t>
  </si>
  <si>
    <t>( 5.5 x 60 ) TRAPEZ VİDA (TRAPEZ SAC / METAL KİREMİT)</t>
  </si>
  <si>
    <t>( 5.5x 110) TRAPEZ VİDA ( SANDVİÇ PANEL)</t>
  </si>
  <si>
    <t>BESLEME KABLOSU ( SİGORTA KUTULARI ARASI )</t>
  </si>
  <si>
    <t>ÇATI MÜDAHALE KAPAĞI</t>
  </si>
  <si>
    <t>ÇATI İZOLASYONU (IZOCAM-KNAUF) 100 mm</t>
  </si>
  <si>
    <t>9,6 m² / Paket</t>
  </si>
  <si>
    <t>KAT YÜKSEKLİĞİ (M)</t>
  </si>
  <si>
    <t>PROJE İSMİ</t>
  </si>
  <si>
    <t>-</t>
  </si>
  <si>
    <t>KAT ADEDİ</t>
  </si>
  <si>
    <t>KURU ZEMİN PENCERE ALANI (M2)</t>
  </si>
  <si>
    <t>ISLAK ZEMİN PENCERE ALANI (M2)</t>
  </si>
  <si>
    <t>KURU ZEMİN İÇ KAPI ALANI (M2)</t>
  </si>
  <si>
    <t>BEYAZ TAVAN ALANI (M2)</t>
  </si>
  <si>
    <t>YEŞİL TAVAN ALANI (M2)</t>
  </si>
  <si>
    <t>KURU ZEMİN İÇ DUVAR UZUNLUĞU (M)</t>
  </si>
  <si>
    <t>ISLAK ZEMİN İÇ DUVAR UZUNLUĞU (M)</t>
  </si>
  <si>
    <t>BİNA İÇİ ODA ÇEVRE UZUNLUĞU</t>
  </si>
  <si>
    <t>ÇATI ALANI</t>
  </si>
  <si>
    <t>SALON</t>
  </si>
  <si>
    <t>HOL</t>
  </si>
  <si>
    <t>SİGORTADAN EVİN EN UZAK UZAKLIĞI</t>
  </si>
  <si>
    <t>UYDU PRİZİ ADET</t>
  </si>
  <si>
    <t>ZİL ADET</t>
  </si>
  <si>
    <t>TERS MAHYA UZUNLUĞU</t>
  </si>
  <si>
    <t>DERE İNİŞ BORUSU</t>
  </si>
  <si>
    <t>SARAY 7</t>
  </si>
  <si>
    <t>KABA HESAP</t>
  </si>
  <si>
    <t>KESİN HESAP</t>
  </si>
  <si>
    <t>AUTOCAD</t>
  </si>
  <si>
    <t>1200*1800</t>
  </si>
  <si>
    <t>60LIK DUVAR OMEGASI UZUNLUKLAR TOPLAMI</t>
  </si>
  <si>
    <t>100 LÜK DUVAR OMEGASI</t>
  </si>
  <si>
    <t>SIFIR SACAK SACI UZUNLUĞU</t>
  </si>
  <si>
    <t xml:space="preserve"> ÖZEL BÜKÜM SAÇAK SACI UZUNLUĞU</t>
  </si>
  <si>
    <t>SIFIR ALIN SACI UZUNLUĞU</t>
  </si>
  <si>
    <t>100LÜK BİNA DIŞ ÇEVRE UZUNLUĞU (M)</t>
  </si>
  <si>
    <t>MAKAS ADET</t>
  </si>
  <si>
    <t>KUBBE MAKAS ADET</t>
  </si>
  <si>
    <t>VERANDA ALANI</t>
  </si>
  <si>
    <t>Formül: Bina Alanı (m2) * (2/100)
Açıklama: 100 m2 ye 2 kova (17,5 kg). 120 m2 de 3 kova(17,5 kg) gider.</t>
  </si>
  <si>
    <t>Formül: Kırma Çatı &gt; Bina Alanı (m2) * 0,06 / Beşik Çatı &gt; Bina Alanı (m2) * 0,03
Açıklama: 100 m2 binada kırma çatıda dayson 6 adet binada beşik çatıda dayson 3 adet (Çatı renginde olacak.)</t>
  </si>
  <si>
    <t>Formül: Duvarların ortasına gelen adet + 2
Açıklama: 2 tane Çektirme U'su sırt sırta konulduğunda H'a dönüşüyor.</t>
  </si>
  <si>
    <t>Formül: Tek kat için 7 adet yazılır.
Açıklama: Kullanılır diye ekstradan koyuyoruz.</t>
  </si>
  <si>
    <t>Açıklama: Özel profillerde kullanılıyor. Ekstradan ekledik.</t>
  </si>
  <si>
    <t>Formül: ( Pencere adedi * 2 * Pencere genişliği(cm) ) / 244(cm) +2
Açıklama: Pencerelerin alt ve üst tarafına yatay olarak gelir.</t>
  </si>
  <si>
    <t>Formül: ( Pencere adedi * 2 * Pencere boyu(cm) ) / 250(cm)
Açıklama: Pencerelerin yanlarına dikey olarak gelir. 180 lik pencerede 250(cm) lik boy kurtarmadığından pencere başına 2 adet olarak yazarız.</t>
  </si>
  <si>
    <t>Formül: 100 lük duvar omegası gelecek yerin uzunluğu(cm) / 250(cm)
Açıklama: 100lük duvar omegası: Dış duvarlarda saçak ve baş makas omegası gelmeyen yerlere gelir.</t>
  </si>
  <si>
    <t>Formül: 100 lük sacak omegası gelecek yerin uzunluğu(cm) / 250(cm)
Açıklama: Çatı makasların saçaklarına gelir.</t>
  </si>
  <si>
    <t>Formül: (Çatı Sacak Kenar Uzunlukları Toplamı (cm) / 230 (cm) ) +2
Açıklama: 230 (cm) = 250 (cm) lik sac uzunluğundan 20 cm lik bindirme payı düşülür.</t>
  </si>
  <si>
    <t>Formül: ( Alın Eğik Kenar Uzunlukları Toplamı (cm) / 230 (cm) ) +2
Açıklama: 230 (cm) = 250 (cm) lik sac uzunluğundan 20 cm lik bindirme payı düşülür.</t>
  </si>
  <si>
    <t>Formül: ( Alın Eğik Kenar Uzunlukları Toplamı (cm) / 280 (cm) ) +2</t>
  </si>
  <si>
    <t>Açıklama: Autocad üzerinden betopan çizilerek bulunur.</t>
  </si>
  <si>
    <t>Formül: Dış duvar uzunlukları toplamı (cm) / 375 (cm)</t>
  </si>
  <si>
    <t>Formül: (Aşık uzunlukları toplamı (cm) / 410 (cm))+5
Açıklama: 410 (cm) = 420 (cm) lik aşık uzunluğundan 10 lik bindirme payı düşülür.</t>
  </si>
  <si>
    <t>Formül: Çatı taban alanı (30 cm payı da al) (m2) / 9,6
Açıklama: İki kat yapılırsa şilteden 2 kat yapılır.</t>
  </si>
  <si>
    <t>Formül: Düz ve ters mahya gelen yerlerin uzunlukları toplamı (cm) / 1000 (cm)</t>
  </si>
  <si>
    <t>Formül: ( Tavan Toplam Alan (m2) * 1,05 / ( Alçıpan Alanı (m2) ) + 2
Açıklama: Islak Zemin Hariç</t>
  </si>
  <si>
    <t>Formül: ( WC Tavan Toplam Alan (m2) * 1,05 / ( Alçıpan Alanı (m2) ) + 1
Açıklama: Islak Zemin</t>
  </si>
  <si>
    <t>Formül: Toplam dere uzunluğu (cm) / 380 (cm)
Açıklama: 380 (cm) derelerin üstüne 20 cm bindirme payları çıkarılmıştır.</t>
  </si>
  <si>
    <t>Formül: Dere iniş borusu adedi kadardır.</t>
  </si>
  <si>
    <t>Formül: Dere iniş borusu adedi * 2</t>
  </si>
  <si>
    <t>Formül: Dere iniş borusu adedi * 1</t>
  </si>
  <si>
    <t>Formül: Metal dere adedi * 8</t>
  </si>
  <si>
    <t>Açıklama: Sabit 1 adet eklenir.</t>
  </si>
  <si>
    <t>Açıklama: Dübelli H adedi kadar eklenir.</t>
  </si>
  <si>
    <t>Açıklama: Çelik dübel adedi kadardır.</t>
  </si>
  <si>
    <t>Formül: Bina alanı (m2) * (7,5)
Açıklama: 100 m2 de 750 adet kullanılır. (750/100=7,5)</t>
  </si>
  <si>
    <t>Formül: ( Alçıpan + Boardex adedi ) * 40 adet</t>
  </si>
  <si>
    <t>Formül: (OSB adedi * 40) + (Yalıpan adedi * 8) + (Priz adedi * 4) + (Sacak Sacı * 4) + (Dere Kelepçesi Adedi * 3)</t>
  </si>
  <si>
    <t>Formül: (Bina Alan (m2)*2,5) + ((Trapez Sac/200)*adet)
Açıklama: 100 m2 için 250 adet yeterli. (250/100=2,5) (250 katları genelde gönderiliyor.)</t>
  </si>
  <si>
    <t>Formül: (Çelik Panel * 10) + (Omega * 6) + (Köşebent * 6) + (Aşık * 10)
Açıklama: 250 katları genelde gönderiliyor.</t>
  </si>
  <si>
    <t>Formül: (Sandviç panel/200)*adet
250 katları genelde gönderiliyor.</t>
  </si>
  <si>
    <t>Formül: Bina alanı (m2) / 15
Açıklama: 15m2 de 1 adet kullanılır.</t>
  </si>
  <si>
    <t>Formül: Bina alanı (m2) * 0,02
Açıklama: 100 m2 binada 230'luk kesme taşı 2 adet</t>
  </si>
  <si>
    <t>Formül: Bina alanı (m2) / 10
Açıklama: Normal binada inox taş m2 bölü 10</t>
  </si>
  <si>
    <t>Açıklama: 1 tane yeterli.</t>
  </si>
  <si>
    <t>Formül: Tijli Duy Adedi + Yuvarlak Glop Adedi</t>
  </si>
  <si>
    <t>Formül: ( Sigorta adedi x sigortadan eve en uzun uzaklık yaklaşık (m) ) + ( Priz adedi x 2 )</t>
  </si>
  <si>
    <t>Formül: ( Sigorta adedi x sigortadan eve en uzun uzaklık yaklaşık (m) ) + ( Anahtar adedi x 2 )</t>
  </si>
  <si>
    <t>Formül: Uydu priz adedi * 25 (m)</t>
  </si>
  <si>
    <t>Formül: Kat adedi * 5 (m)</t>
  </si>
  <si>
    <t>Formül: Oda Sayısı + ekstra yüksek voltajlı noktalar</t>
  </si>
  <si>
    <t>Formül: Kat adedi kadardır.</t>
  </si>
  <si>
    <t>Açıklama: Tek kat 1 adet ikili, çift katlı ise dörtlü kullanılır.</t>
  </si>
  <si>
    <t>Formül: Ev m2 * (6/100)
Açıklama: 100 m2 evde 5-6 adet kullanılıyor.</t>
  </si>
  <si>
    <t>Formül: WC adedi * 6</t>
  </si>
  <si>
    <t>60x595x2500</t>
  </si>
  <si>
    <t>AĞIRLIK</t>
  </si>
  <si>
    <t>Formül: İç duvar uzunlukları toplamı (cm) / 250 (cm)</t>
  </si>
  <si>
    <t>1200*1200</t>
  </si>
  <si>
    <t>Formül: Anahtar adedi + priz adedi + oda sayısı + 1
Açıklama: Buat anahtar ve prizlerin kasaları (Prefabrikte gönderilmiyor.)</t>
  </si>
  <si>
    <r>
      <rPr>
        <sz val="11"/>
        <color rgb="FFFF0000"/>
        <rFont val="Arial"/>
        <family val="2"/>
        <charset val="162"/>
      </rPr>
      <t>(ANTRASİT)</t>
    </r>
    <r>
      <rPr>
        <sz val="11"/>
        <color theme="1"/>
        <rFont val="Arial"/>
        <family val="2"/>
        <charset val="162"/>
      </rPr>
      <t xml:space="preserve"> DERE KAPAĞI</t>
    </r>
  </si>
  <si>
    <t>Dış cephede mantolama varsa: Pencere adedi kadardır. (Pencer rengi)
Dış cephede mantolama yoksa: Pencere adedi (Pencere rengi) + bina alanı * 2/3 (beyaz)
Açıklama: Dışta mantolama yoksa mastik olur onun hesabını ayrıca ekleriz.</t>
  </si>
  <si>
    <t>10LUK KÖŞE DİREĞİ</t>
  </si>
  <si>
    <t>6LIK KÖŞE DİREĞİ</t>
  </si>
  <si>
    <t>L:500</t>
  </si>
  <si>
    <t>Formül: Veranda, sundurma ve balkon tavan alanları (m2) * 1,08 / (1,2*2,4)</t>
  </si>
  <si>
    <t>PENCERE ÖZEL İLETİLİYOR</t>
  </si>
  <si>
    <t>PENCERE ÖZEL İLETİLİYOR (2 ADET FİX YAZ)</t>
  </si>
  <si>
    <t>Formül: Çatı makasları alınlarının taban uzunluklarının duvar üstüne geldiği uzunluk toplamı (cm) / 250 (cm)
Açıklama: Çatı makasların alın yüzleri tarafına gelir.</t>
  </si>
  <si>
    <t>Düz tavan olan yerler 125,5 cm de bir atılır. Veranda tavanı ters tavan yapılır.</t>
  </si>
  <si>
    <t>Duvar omegalarına dik olacak şekilde 62,5 cm cm de bir atılır.</t>
  </si>
  <si>
    <t>Duvar üstü omegalar hariç 3.65 e bölünür</t>
  </si>
  <si>
    <t>Standart 3 ile 5 arası gönderilir.</t>
  </si>
  <si>
    <t>100x370x2500</t>
  </si>
  <si>
    <t>100x1110x2500</t>
  </si>
  <si>
    <t>100x600x2500</t>
  </si>
  <si>
    <t>100x775x2500</t>
  </si>
  <si>
    <t>100x365x2500</t>
  </si>
  <si>
    <t>100x400x2500</t>
  </si>
  <si>
    <t>100x830x2500</t>
  </si>
  <si>
    <t>60x775x2500</t>
  </si>
  <si>
    <t>60x315x2500</t>
  </si>
  <si>
    <t>PREFABRİK ÇELİK KAPI</t>
  </si>
  <si>
    <t>ALICIYA AİT</t>
  </si>
  <si>
    <r>
      <t xml:space="preserve">AMERİKAN  KAPI (80 LİK KANAT) </t>
    </r>
    <r>
      <rPr>
        <sz val="11"/>
        <color rgb="FFFF0000"/>
        <rFont val="Arial"/>
        <family val="2"/>
        <charset val="162"/>
      </rPr>
      <t>(SOL)</t>
    </r>
  </si>
  <si>
    <r>
      <t xml:space="preserve">AMERİKAN  KAPI (80 LİK KANAT) </t>
    </r>
    <r>
      <rPr>
        <sz val="11"/>
        <color rgb="FFFF0000"/>
        <rFont val="Arial"/>
        <family val="2"/>
        <charset val="162"/>
      </rPr>
      <t>(SAĞ)</t>
    </r>
  </si>
  <si>
    <t>PENCERE GRUBU</t>
  </si>
  <si>
    <t>100*100*3240</t>
  </si>
  <si>
    <t>100*100*1900</t>
  </si>
  <si>
    <t>KUTU PROFİL (KİRİŞ) (3 MM)</t>
  </si>
  <si>
    <t>ÖZEL KUTU PROFİL (KOLON) (3 MM) - A</t>
  </si>
  <si>
    <t>ÖZEL KÖŞE DİREĞİ - B</t>
  </si>
  <si>
    <t>ÖZEL KÖŞE DİREĞİ - C</t>
  </si>
  <si>
    <t>ÖZEL KÖŞE DİREĞİ - D</t>
  </si>
  <si>
    <t>ÖZEL PENCERE KARKASI (120X120)
(100 LÜK ÇEKTİRME U SU + 100 LÜK H GEÇEN) - E</t>
  </si>
  <si>
    <t>ÖZEL PENCERE KARKASI (120X120)
(100 LÜK ÇEKTİRME U SU + 100 LÜK H GEÇEN) - F</t>
  </si>
  <si>
    <r>
      <rPr>
        <sz val="11"/>
        <color rgb="FFFF0000"/>
        <rFont val="Arial"/>
        <family val="2"/>
      </rPr>
      <t>( ANTRASİT )</t>
    </r>
    <r>
      <rPr>
        <sz val="11"/>
        <rFont val="Arial"/>
        <family val="2"/>
        <charset val="162"/>
      </rPr>
      <t xml:space="preserve"> SAÇAK SACI (30'LUK)</t>
    </r>
    <r>
      <rPr>
        <sz val="11"/>
        <rFont val="Arial"/>
        <family val="2"/>
      </rPr>
      <t xml:space="preserve"> </t>
    </r>
    <r>
      <rPr>
        <sz val="11"/>
        <color rgb="FFFF0000"/>
        <rFont val="Arial"/>
        <family val="2"/>
        <charset val="162"/>
      </rPr>
      <t>(3 ADET MENFEZLİ OLACAK)</t>
    </r>
  </si>
  <si>
    <r>
      <rPr>
        <sz val="11"/>
        <color rgb="FFFF0000"/>
        <rFont val="Arial"/>
        <family val="2"/>
      </rPr>
      <t>( ANTRASİT )</t>
    </r>
    <r>
      <rPr>
        <sz val="11"/>
        <rFont val="Arial"/>
        <family val="2"/>
        <charset val="162"/>
      </rPr>
      <t xml:space="preserve"> ALIN SACI (30'LUK)</t>
    </r>
  </si>
  <si>
    <r>
      <rPr>
        <sz val="11"/>
        <color rgb="FFFF0000"/>
        <rFont val="Arial"/>
        <family val="2"/>
      </rPr>
      <t>(ANTRASİT)</t>
    </r>
    <r>
      <rPr>
        <sz val="11"/>
        <color theme="1"/>
        <rFont val="Arial"/>
        <family val="2"/>
        <charset val="162"/>
      </rPr>
      <t xml:space="preserve"> SANDVİÇ PANEL ( 100 CM KAPATIR )</t>
    </r>
  </si>
  <si>
    <r>
      <rPr>
        <sz val="11"/>
        <color rgb="FFFF0000"/>
        <rFont val="Arial"/>
        <family val="2"/>
      </rPr>
      <t>(ANTRASİT)</t>
    </r>
    <r>
      <rPr>
        <sz val="11"/>
        <color theme="1"/>
        <rFont val="Arial"/>
        <family val="2"/>
        <charset val="162"/>
      </rPr>
      <t xml:space="preserve"> METAL KİREMİT MAHYASI</t>
    </r>
  </si>
  <si>
    <r>
      <rPr>
        <sz val="11"/>
        <color rgb="FFFF0000"/>
        <rFont val="Arial"/>
        <family val="2"/>
      </rPr>
      <t>(ANTRASİT)</t>
    </r>
    <r>
      <rPr>
        <sz val="11"/>
        <color theme="1"/>
        <rFont val="Arial"/>
        <family val="2"/>
        <charset val="162"/>
      </rPr>
      <t xml:space="preserve"> SANDVİÇ PANEL KAPAMASI</t>
    </r>
  </si>
  <si>
    <r>
      <t>(</t>
    </r>
    <r>
      <rPr>
        <sz val="11"/>
        <color rgb="FFFF0000"/>
        <rFont val="Arial"/>
        <family val="2"/>
      </rPr>
      <t xml:space="preserve"> ANTRASİT </t>
    </r>
    <r>
      <rPr>
        <sz val="11"/>
        <rFont val="Arial"/>
        <family val="2"/>
        <charset val="162"/>
      </rPr>
      <t>) METAL DERE</t>
    </r>
  </si>
  <si>
    <t>SU TESISATI GRUBU</t>
  </si>
  <si>
    <t>VİTRİFİYE GRUBU</t>
  </si>
  <si>
    <r>
      <t>Dayson</t>
    </r>
    <r>
      <rPr>
        <sz val="11"/>
        <color rgb="FFFF0000"/>
        <rFont val="Arial"/>
        <family val="2"/>
        <charset val="162"/>
      </rPr>
      <t xml:space="preserve"> (ANTRASİT)</t>
    </r>
  </si>
  <si>
    <t>Silikonize Mastik</t>
  </si>
  <si>
    <t>BANYO BATARYA GRUBU (LAVABO BATARYASI, BANYO BATARYASI, DUŞ BAŞLIĞI)</t>
  </si>
  <si>
    <t>HUMA 60 M2</t>
  </si>
  <si>
    <r>
      <t>60'LIK DUVAR OMEGASI (</t>
    </r>
    <r>
      <rPr>
        <sz val="11"/>
        <color rgb="FFFF0000"/>
        <rFont val="Arial"/>
        <family val="2"/>
        <charset val="162"/>
      </rPr>
      <t>ASMA DİZME TAVAN</t>
    </r>
    <r>
      <rPr>
        <sz val="11"/>
        <rFont val="Arial"/>
        <family val="2"/>
        <charset val="162"/>
      </rPr>
      <t>)</t>
    </r>
  </si>
  <si>
    <r>
      <t>TAVAN H'I L:1185 MM (</t>
    </r>
    <r>
      <rPr>
        <sz val="11"/>
        <color rgb="FFFF0000"/>
        <rFont val="Arial"/>
        <family val="2"/>
        <charset val="162"/>
      </rPr>
      <t>ASMA DİZME TAVAN</t>
    </r>
    <r>
      <rPr>
        <sz val="11"/>
        <rFont val="Arial"/>
        <family val="2"/>
        <charset val="162"/>
      </rPr>
      <t>)</t>
    </r>
  </si>
  <si>
    <r>
      <t>PVC OMEGA KAPAK L:3750MM (</t>
    </r>
    <r>
      <rPr>
        <sz val="11"/>
        <color rgb="FFFF0000"/>
        <rFont val="Arial"/>
        <family val="2"/>
        <charset val="162"/>
      </rPr>
      <t>ASMA DİZME TAVAN</t>
    </r>
    <r>
      <rPr>
        <sz val="11"/>
        <rFont val="Arial"/>
        <family val="2"/>
        <charset val="162"/>
      </rPr>
      <t>)</t>
    </r>
  </si>
  <si>
    <r>
      <t>PVC PLASTİK BETOPAN HAŞI (</t>
    </r>
    <r>
      <rPr>
        <sz val="11"/>
        <color rgb="FFFF0000"/>
        <rFont val="Arial"/>
        <family val="2"/>
        <charset val="162"/>
      </rPr>
      <t>ASMA DİZME TAVAN</t>
    </r>
    <r>
      <rPr>
        <sz val="11"/>
        <rFont val="Arial"/>
        <family val="2"/>
        <charset val="162"/>
      </rPr>
      <t>)</t>
    </r>
  </si>
  <si>
    <r>
      <t xml:space="preserve">KAÇAK AKIM RÖLESİ </t>
    </r>
    <r>
      <rPr>
        <sz val="11"/>
        <color rgb="FFFF0000"/>
        <rFont val="Arial"/>
        <family val="2"/>
      </rPr>
      <t>(İKİLİ)</t>
    </r>
    <r>
      <rPr>
        <sz val="11"/>
        <color theme="1"/>
        <rFont val="Arial"/>
        <family val="2"/>
        <charset val="162"/>
      </rPr>
      <t xml:space="preserve"> (</t>
    </r>
    <r>
      <rPr>
        <sz val="11"/>
        <color rgb="FFFF0000"/>
        <rFont val="Arial"/>
        <family val="2"/>
        <charset val="162"/>
      </rPr>
      <t>99M2 DEKİ BOZUK GELMİŞ</t>
    </r>
    <r>
      <rPr>
        <sz val="11"/>
        <color theme="1"/>
        <rFont val="Arial"/>
        <family val="2"/>
        <charset val="16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</si>
</sst>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[$₺-41F]"/>
    <numFmt numFmtId="165" formatCode="#,##0.00\ &quot;₺&quot;"/>
    <numFmt numFmtId="166" formatCode="&quot;₺&quot;#,##0.00"/>
    <numFmt numFmtId="167" formatCode="0.0"/>
  </numFmts>
  <fonts count="19" x14ac:knownFonts="1">
    <font>
      <sz val="10"/>
      <name val="Arial"/>
      <charset val="162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b/>
      <sz val="12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sz val="8"/>
      <name val="Arial"/>
      <family val="2"/>
      <charset val="162"/>
    </font>
    <font>
      <sz val="11"/>
      <color rgb="FFFF0000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sz val="11"/>
      <name val="Arial"/>
      <family val="2"/>
      <charset val="162"/>
    </font>
    <font>
      <sz val="11"/>
      <color rgb="FFFF0000"/>
      <name val="Arial"/>
      <family val="2"/>
      <charset val="162"/>
    </font>
    <font>
      <sz val="11"/>
      <color rgb="FFFF0000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  <charset val="16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3"/>
      <name val="Arial"/>
      <family val="2"/>
    </font>
    <font>
      <sz val="11"/>
      <color theme="3"/>
      <name val="Arial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91">
    <xf numFmtId="0" fontId="0" fillId="0" borderId="0" xfId="0"/>
    <xf numFmtId="0" fontId="6" fillId="2" borderId="0" xfId="0" applyFont="1" applyFill="1"/>
    <xf numFmtId="0" fontId="5" fillId="2" borderId="0" xfId="0" applyFont="1" applyFill="1"/>
    <xf numFmtId="0" fontId="5" fillId="3" borderId="0" xfId="0" applyFont="1" applyFill="1"/>
    <xf numFmtId="0" fontId="9" fillId="2" borderId="1" xfId="0" applyFont="1" applyFill="1" applyBorder="1"/>
    <xf numFmtId="0" fontId="10" fillId="0" borderId="1" xfId="0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9" fillId="2" borderId="0" xfId="0" applyFont="1" applyFill="1"/>
    <xf numFmtId="0" fontId="5" fillId="0" borderId="0" xfId="0" applyFont="1"/>
    <xf numFmtId="2" fontId="16" fillId="2" borderId="2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164" fontId="15" fillId="0" borderId="1" xfId="0" applyNumberFormat="1" applyFont="1" applyBorder="1" applyAlignment="1">
      <alignment horizontal="left" vertical="center" wrapText="1"/>
    </xf>
    <xf numFmtId="2" fontId="9" fillId="0" borderId="1" xfId="0" applyNumberFormat="1" applyFont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2" fontId="9" fillId="0" borderId="5" xfId="0" applyNumberFormat="1" applyFont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2" fontId="9" fillId="0" borderId="8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2" fontId="15" fillId="0" borderId="2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1" fontId="15" fillId="0" borderId="1" xfId="0" applyNumberFormat="1" applyFont="1" applyBorder="1" applyAlignment="1">
      <alignment horizontal="left" vertical="center" wrapText="1"/>
    </xf>
    <xf numFmtId="0" fontId="9" fillId="3" borderId="0" xfId="0" applyFont="1" applyFill="1"/>
    <xf numFmtId="166" fontId="15" fillId="0" borderId="1" xfId="0" applyNumberFormat="1" applyFont="1" applyBorder="1" applyAlignment="1">
      <alignment horizontal="left" vertical="center" wrapText="1"/>
    </xf>
    <xf numFmtId="2" fontId="9" fillId="2" borderId="2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 wrapText="1"/>
    </xf>
    <xf numFmtId="165" fontId="15" fillId="0" borderId="1" xfId="0" applyNumberFormat="1" applyFont="1" applyBorder="1" applyAlignment="1">
      <alignment horizontal="left" vertical="center" wrapText="1"/>
    </xf>
    <xf numFmtId="165" fontId="13" fillId="0" borderId="1" xfId="0" applyNumberFormat="1" applyFont="1" applyBorder="1" applyAlignment="1">
      <alignment horizontal="left" vertical="center" wrapText="1"/>
    </xf>
    <xf numFmtId="0" fontId="9" fillId="0" borderId="0" xfId="0" applyFont="1"/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2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2" fontId="18" fillId="0" borderId="1" xfId="0" applyNumberFormat="1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 wrapText="1"/>
    </xf>
    <xf numFmtId="1" fontId="9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2" fontId="16" fillId="0" borderId="2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shrinkToFit="1"/>
    </xf>
    <xf numFmtId="0" fontId="18" fillId="0" borderId="10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2" fontId="9" fillId="0" borderId="11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right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167" fontId="9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165" fontId="10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/>
    </xf>
    <xf numFmtId="1" fontId="9" fillId="6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/>
    </xf>
    <xf numFmtId="165" fontId="9" fillId="6" borderId="1" xfId="0" applyNumberFormat="1" applyFont="1" applyFill="1" applyBorder="1" applyAlignment="1">
      <alignment horizontal="right" vertical="center" wrapText="1"/>
    </xf>
    <xf numFmtId="164" fontId="9" fillId="6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vertical="center" wrapText="1"/>
    </xf>
    <xf numFmtId="2" fontId="9" fillId="6" borderId="1" xfId="0" applyNumberFormat="1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 wrapText="1"/>
    </xf>
    <xf numFmtId="165" fontId="10" fillId="6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92D050"/>
      <color rgb="FFD3CF31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  <pageSetUpPr fitToPage="1"/>
  </sheetPr>
  <dimension ref="A1:Y141"/>
  <sheetViews>
    <sheetView tabSelected="1" view="pageBreakPreview" zoomScale="115" zoomScaleNormal="85" zoomScaleSheetLayoutView="115" zoomScalePageLayoutView="70" workbookViewId="0">
      <selection activeCell="F1" sqref="F1"/>
    </sheetView>
  </sheetViews>
  <sheetFormatPr defaultColWidth="9.109375" defaultRowHeight="13.2" x14ac:dyDescent="0.25"/>
  <cols>
    <col min="1" max="1" width="63.44140625" style="2" customWidth="1"/>
    <col min="2" max="2" width="29" style="2" customWidth="1"/>
    <col min="3" max="3" width="15.33203125" style="1" customWidth="1"/>
    <col min="4" max="4" width="22.88671875" style="1" customWidth="1"/>
    <col min="5" max="5" width="15.5546875" style="2" customWidth="1"/>
    <col min="6" max="6" width="18.109375" style="2" customWidth="1"/>
    <col min="7" max="7" width="16.6640625" style="2" bestFit="1" customWidth="1"/>
    <col min="8" max="8" width="98.33203125" style="2" bestFit="1" customWidth="1"/>
    <col min="9" max="9" width="9.109375" style="2"/>
    <col min="10" max="10" width="76.21875" style="2" bestFit="1" customWidth="1"/>
    <col min="11" max="11" width="39.109375" style="2" bestFit="1" customWidth="1"/>
    <col min="12" max="16384" width="9.109375" style="2"/>
  </cols>
  <sheetData>
    <row r="1" spans="1:25" ht="31.2" customHeight="1" x14ac:dyDescent="0.25">
      <c r="A1" s="84" t="s">
        <v>113</v>
      </c>
      <c r="B1" s="84"/>
      <c r="C1" s="84"/>
      <c r="D1" s="84"/>
      <c r="E1" s="84"/>
      <c r="F1" s="45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ht="18" customHeight="1" x14ac:dyDescent="0.25">
      <c r="A2" s="8" t="s">
        <v>24</v>
      </c>
      <c r="B2" s="85" t="s">
        <v>272</v>
      </c>
      <c r="C2" s="85"/>
      <c r="D2" s="85"/>
      <c r="E2" s="85"/>
      <c r="F2" s="40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 ht="18" customHeight="1" x14ac:dyDescent="0.25">
      <c r="A3" s="8" t="s">
        <v>30</v>
      </c>
      <c r="B3" s="86"/>
      <c r="C3" s="86"/>
      <c r="D3" s="86"/>
      <c r="E3" s="86"/>
      <c r="F3" s="41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ht="18" customHeight="1" x14ac:dyDescent="0.25">
      <c r="A4" s="8" t="s">
        <v>25</v>
      </c>
      <c r="B4" s="87"/>
      <c r="C4" s="88"/>
      <c r="D4" s="88"/>
      <c r="E4" s="88"/>
      <c r="F4" s="42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ht="18" customHeight="1" x14ac:dyDescent="0.25">
      <c r="A5" s="8" t="s">
        <v>42</v>
      </c>
      <c r="B5" s="88"/>
      <c r="C5" s="88"/>
      <c r="D5" s="88"/>
      <c r="E5" s="88"/>
      <c r="F5" s="42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ht="18" customHeight="1" x14ac:dyDescent="0.25">
      <c r="A6" s="8" t="s">
        <v>36</v>
      </c>
      <c r="B6" s="31">
        <v>60</v>
      </c>
      <c r="C6" s="31">
        <v>1</v>
      </c>
      <c r="D6" s="87">
        <v>2.5</v>
      </c>
      <c r="E6" s="88"/>
      <c r="F6" s="42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ht="18" customHeight="1" x14ac:dyDescent="0.25">
      <c r="A7" s="90" t="s">
        <v>26</v>
      </c>
      <c r="B7" s="6" t="s">
        <v>27</v>
      </c>
      <c r="C7" s="6" t="s">
        <v>28</v>
      </c>
      <c r="D7" s="6" t="s">
        <v>29</v>
      </c>
      <c r="E7" s="6" t="s">
        <v>28</v>
      </c>
      <c r="F7" s="45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ht="18" customHeight="1" x14ac:dyDescent="0.25">
      <c r="A8" s="90"/>
      <c r="B8" s="32" t="s">
        <v>110</v>
      </c>
      <c r="C8" s="47">
        <v>46296</v>
      </c>
      <c r="D8" s="48"/>
      <c r="E8" s="47"/>
      <c r="F8" s="43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ht="9" customHeight="1" x14ac:dyDescent="0.25">
      <c r="A9" s="4"/>
      <c r="B9" s="4"/>
      <c r="C9" s="4"/>
      <c r="D9" s="4"/>
      <c r="E9" s="4"/>
      <c r="F9" s="30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ht="18" customHeight="1" x14ac:dyDescent="0.25">
      <c r="A10" s="7" t="s">
        <v>62</v>
      </c>
      <c r="B10" s="6" t="s">
        <v>31</v>
      </c>
      <c r="C10" s="6" t="s">
        <v>0</v>
      </c>
      <c r="D10" s="6"/>
      <c r="E10" s="6"/>
      <c r="F10" s="46" t="s">
        <v>160</v>
      </c>
      <c r="G10" s="11" t="s">
        <v>161</v>
      </c>
      <c r="H10" s="12" t="s">
        <v>114</v>
      </c>
      <c r="I10" s="9"/>
      <c r="J10" s="5" t="s">
        <v>140</v>
      </c>
      <c r="K10" s="35" t="s">
        <v>159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ht="18" customHeight="1" x14ac:dyDescent="0.25">
      <c r="A11" s="56" t="s">
        <v>63</v>
      </c>
      <c r="B11" s="54" t="s">
        <v>64</v>
      </c>
      <c r="C11" s="58">
        <v>12</v>
      </c>
      <c r="D11" s="32"/>
      <c r="E11" s="60"/>
      <c r="F11" s="21"/>
      <c r="G11" s="33" t="s">
        <v>162</v>
      </c>
      <c r="H11" s="13"/>
      <c r="I11" s="9"/>
      <c r="J11" s="5" t="s">
        <v>30</v>
      </c>
      <c r="K11" s="36" t="s">
        <v>141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 ht="18" customHeight="1" x14ac:dyDescent="0.25">
      <c r="A12" s="56" t="s">
        <v>63</v>
      </c>
      <c r="B12" s="54" t="s">
        <v>239</v>
      </c>
      <c r="C12" s="58">
        <v>2</v>
      </c>
      <c r="D12" s="32"/>
      <c r="E12" s="60"/>
      <c r="F12" s="21"/>
      <c r="G12" s="33" t="s">
        <v>162</v>
      </c>
      <c r="H12" s="13"/>
      <c r="I12" s="9"/>
      <c r="J12" s="5" t="s">
        <v>42</v>
      </c>
      <c r="K12" s="36" t="s">
        <v>141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ht="18" customHeight="1" x14ac:dyDescent="0.25">
      <c r="A13" s="56" t="s">
        <v>63</v>
      </c>
      <c r="B13" s="54" t="s">
        <v>244</v>
      </c>
      <c r="C13" s="58">
        <v>1</v>
      </c>
      <c r="D13" s="32"/>
      <c r="E13" s="60"/>
      <c r="F13" s="21"/>
      <c r="G13" s="33"/>
      <c r="H13" s="13"/>
      <c r="I13" s="9"/>
      <c r="J13" s="5"/>
      <c r="K13" s="36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ht="18" customHeight="1" x14ac:dyDescent="0.25">
      <c r="A14" s="56" t="s">
        <v>63</v>
      </c>
      <c r="B14" s="54" t="s">
        <v>241</v>
      </c>
      <c r="C14" s="58">
        <v>1</v>
      </c>
      <c r="D14" s="32"/>
      <c r="E14" s="60"/>
      <c r="F14" s="21"/>
      <c r="G14" s="33" t="s">
        <v>162</v>
      </c>
      <c r="H14" s="13"/>
      <c r="I14" s="9"/>
      <c r="J14" s="5" t="s">
        <v>142</v>
      </c>
      <c r="K14" s="36">
        <v>1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ht="18" customHeight="1" x14ac:dyDescent="0.25">
      <c r="A15" s="56" t="s">
        <v>63</v>
      </c>
      <c r="B15" s="54" t="s">
        <v>65</v>
      </c>
      <c r="C15" s="58">
        <v>2</v>
      </c>
      <c r="D15" s="32"/>
      <c r="E15" s="60"/>
      <c r="F15" s="21"/>
      <c r="G15" s="33" t="s">
        <v>162</v>
      </c>
      <c r="H15" s="13"/>
      <c r="I15" s="9"/>
      <c r="J15" s="5" t="s">
        <v>139</v>
      </c>
      <c r="K15" s="36">
        <v>2.5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ht="18" customHeight="1" thickBot="1" x14ac:dyDescent="0.3">
      <c r="A16" s="56" t="s">
        <v>63</v>
      </c>
      <c r="B16" s="54" t="s">
        <v>240</v>
      </c>
      <c r="C16" s="58">
        <v>2</v>
      </c>
      <c r="D16" s="32"/>
      <c r="E16" s="60"/>
      <c r="F16" s="21"/>
      <c r="G16" s="33" t="s">
        <v>162</v>
      </c>
      <c r="H16" s="13"/>
      <c r="I16" s="9"/>
      <c r="J16" s="5" t="s">
        <v>169</v>
      </c>
      <c r="K16" s="36">
        <v>45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5" ht="18" customHeight="1" x14ac:dyDescent="0.25">
      <c r="A17" s="56" t="s">
        <v>63</v>
      </c>
      <c r="B17" s="54" t="s">
        <v>243</v>
      </c>
      <c r="C17" s="58">
        <v>1</v>
      </c>
      <c r="D17" s="32"/>
      <c r="E17" s="60"/>
      <c r="F17" s="21"/>
      <c r="G17" s="33" t="s">
        <v>162</v>
      </c>
      <c r="H17" s="13"/>
      <c r="I17" s="9"/>
      <c r="J17" s="5" t="s">
        <v>143</v>
      </c>
      <c r="K17" s="14">
        <f>Q17+W17</f>
        <v>12.96</v>
      </c>
      <c r="L17" s="9"/>
      <c r="M17" s="37">
        <v>180</v>
      </c>
      <c r="N17" s="38">
        <v>180</v>
      </c>
      <c r="O17" s="38">
        <v>2</v>
      </c>
      <c r="P17" s="15"/>
      <c r="Q17" s="16">
        <f>M17*N17*O17/10000</f>
        <v>6.48</v>
      </c>
      <c r="R17" s="17"/>
      <c r="S17" s="37">
        <v>120</v>
      </c>
      <c r="T17" s="38">
        <v>180</v>
      </c>
      <c r="U17" s="38">
        <v>3</v>
      </c>
      <c r="V17" s="15"/>
      <c r="W17" s="18">
        <f>S17*T17*U17/10000</f>
        <v>6.48</v>
      </c>
      <c r="X17" s="9"/>
      <c r="Y17" s="9"/>
    </row>
    <row r="18" spans="1:25" ht="18" customHeight="1" x14ac:dyDescent="0.25">
      <c r="A18" s="56" t="s">
        <v>63</v>
      </c>
      <c r="B18" s="54" t="s">
        <v>238</v>
      </c>
      <c r="C18" s="58">
        <v>1</v>
      </c>
      <c r="D18" s="32"/>
      <c r="E18" s="60"/>
      <c r="F18" s="21"/>
      <c r="G18" s="33"/>
      <c r="H18" s="13"/>
      <c r="I18" s="9"/>
      <c r="J18" s="5"/>
      <c r="K18" s="14"/>
      <c r="L18" s="9"/>
      <c r="M18" s="49"/>
      <c r="N18" s="50"/>
      <c r="O18" s="50"/>
      <c r="P18" s="17"/>
      <c r="Q18" s="51"/>
      <c r="R18" s="17"/>
      <c r="S18" s="49"/>
      <c r="T18" s="50"/>
      <c r="U18" s="50"/>
      <c r="V18" s="17"/>
      <c r="W18" s="52"/>
      <c r="X18" s="9"/>
      <c r="Y18" s="9"/>
    </row>
    <row r="19" spans="1:25" ht="18" customHeight="1" x14ac:dyDescent="0.25">
      <c r="A19" s="56" t="s">
        <v>63</v>
      </c>
      <c r="B19" s="54" t="s">
        <v>242</v>
      </c>
      <c r="C19" s="58">
        <v>1</v>
      </c>
      <c r="D19" s="32"/>
      <c r="E19" s="60"/>
      <c r="F19" s="21"/>
      <c r="G19" s="33" t="s">
        <v>162</v>
      </c>
      <c r="H19" s="13"/>
      <c r="I19" s="9"/>
      <c r="J19" s="5" t="s">
        <v>144</v>
      </c>
      <c r="K19" s="14">
        <f>Q19+W19</f>
        <v>0.24</v>
      </c>
      <c r="L19" s="9"/>
      <c r="M19" s="39">
        <v>60</v>
      </c>
      <c r="N19" s="35">
        <v>40</v>
      </c>
      <c r="O19" s="35">
        <v>1</v>
      </c>
      <c r="P19" s="17"/>
      <c r="Q19" s="19">
        <f>M19*N19*O19/10000</f>
        <v>0.24</v>
      </c>
      <c r="R19" s="17"/>
      <c r="S19" s="39"/>
      <c r="T19" s="35"/>
      <c r="U19" s="35"/>
      <c r="V19" s="17"/>
      <c r="W19" s="20">
        <f>S19*T19*U19/10000</f>
        <v>0</v>
      </c>
      <c r="X19" s="9"/>
      <c r="Y19" s="9"/>
    </row>
    <row r="20" spans="1:25" ht="18" customHeight="1" x14ac:dyDescent="0.25">
      <c r="A20" s="56" t="s">
        <v>66</v>
      </c>
      <c r="B20" s="54" t="s">
        <v>64</v>
      </c>
      <c r="C20" s="58">
        <v>1</v>
      </c>
      <c r="D20" s="32"/>
      <c r="E20" s="60"/>
      <c r="F20" s="21"/>
      <c r="G20" s="33" t="s">
        <v>162</v>
      </c>
      <c r="H20" s="13"/>
      <c r="I20" s="9"/>
      <c r="J20" s="5" t="s">
        <v>145</v>
      </c>
      <c r="K20" s="14">
        <f>Q20+W20</f>
        <v>17.334</v>
      </c>
      <c r="L20" s="9"/>
      <c r="M20" s="39">
        <v>90</v>
      </c>
      <c r="N20" s="35">
        <v>214</v>
      </c>
      <c r="O20" s="35">
        <v>9</v>
      </c>
      <c r="P20" s="17"/>
      <c r="Q20" s="19">
        <f>M20*N20*O20/10000</f>
        <v>17.334</v>
      </c>
      <c r="R20" s="17"/>
      <c r="S20" s="39"/>
      <c r="T20" s="35"/>
      <c r="U20" s="35"/>
      <c r="V20" s="17"/>
      <c r="W20" s="20">
        <f>S20*T20*U20/10000</f>
        <v>0</v>
      </c>
      <c r="X20" s="9"/>
      <c r="Y20" s="9"/>
    </row>
    <row r="21" spans="1:25" ht="18" customHeight="1" x14ac:dyDescent="0.25">
      <c r="A21" s="56" t="s">
        <v>67</v>
      </c>
      <c r="B21" s="54" t="s">
        <v>68</v>
      </c>
      <c r="C21" s="58">
        <v>7</v>
      </c>
      <c r="D21" s="32"/>
      <c r="E21" s="60"/>
      <c r="F21" s="21"/>
      <c r="G21" s="33" t="s">
        <v>162</v>
      </c>
      <c r="H21" s="13"/>
      <c r="I21" s="9"/>
      <c r="J21" s="5" t="s">
        <v>146</v>
      </c>
      <c r="K21" s="36">
        <v>68.739999999999995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spans="1:25" ht="18" customHeight="1" x14ac:dyDescent="0.25">
      <c r="A22" s="56" t="s">
        <v>67</v>
      </c>
      <c r="B22" s="54" t="s">
        <v>117</v>
      </c>
      <c r="C22" s="58">
        <v>2</v>
      </c>
      <c r="D22" s="32"/>
      <c r="E22" s="60"/>
      <c r="F22" s="21"/>
      <c r="G22" s="33"/>
      <c r="H22" s="13"/>
      <c r="I22" s="9"/>
      <c r="J22" s="5"/>
      <c r="K22" s="36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spans="1:25" ht="18" customHeight="1" x14ac:dyDescent="0.25">
      <c r="A23" s="56" t="s">
        <v>67</v>
      </c>
      <c r="B23" s="54" t="s">
        <v>115</v>
      </c>
      <c r="C23" s="58">
        <v>2</v>
      </c>
      <c r="D23" s="32"/>
      <c r="E23" s="60"/>
      <c r="F23" s="21"/>
      <c r="G23" s="33" t="s">
        <v>162</v>
      </c>
      <c r="H23" s="13"/>
      <c r="I23" s="9"/>
      <c r="J23" s="5" t="s">
        <v>147</v>
      </c>
      <c r="K23" s="36">
        <v>5.45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spans="1:25" ht="18" customHeight="1" x14ac:dyDescent="0.25">
      <c r="A24" s="56" t="s">
        <v>67</v>
      </c>
      <c r="B24" s="54" t="s">
        <v>245</v>
      </c>
      <c r="C24" s="58">
        <v>1</v>
      </c>
      <c r="D24" s="32"/>
      <c r="E24" s="60"/>
      <c r="F24" s="21"/>
      <c r="G24" s="33" t="s">
        <v>162</v>
      </c>
      <c r="H24" s="13"/>
      <c r="I24" s="9"/>
      <c r="J24" s="5" t="s">
        <v>148</v>
      </c>
      <c r="K24" s="36">
        <f>77.1</f>
        <v>77.099999999999994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 ht="18" customHeight="1" x14ac:dyDescent="0.25">
      <c r="A25" s="56" t="s">
        <v>67</v>
      </c>
      <c r="B25" s="54" t="s">
        <v>220</v>
      </c>
      <c r="C25" s="58">
        <v>1</v>
      </c>
      <c r="D25" s="32"/>
      <c r="E25" s="60"/>
      <c r="F25" s="21"/>
      <c r="G25" s="33" t="s">
        <v>162</v>
      </c>
      <c r="H25" s="13"/>
      <c r="I25" s="9"/>
      <c r="J25" s="5" t="s">
        <v>149</v>
      </c>
      <c r="K25" s="36">
        <v>9.34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 ht="18" customHeight="1" x14ac:dyDescent="0.25">
      <c r="A26" s="56" t="s">
        <v>67</v>
      </c>
      <c r="B26" s="54" t="s">
        <v>246</v>
      </c>
      <c r="C26" s="58">
        <v>2</v>
      </c>
      <c r="D26" s="32"/>
      <c r="E26" s="60"/>
      <c r="F26" s="21"/>
      <c r="G26" s="33" t="s">
        <v>162</v>
      </c>
      <c r="H26" s="13"/>
      <c r="I26" s="9"/>
      <c r="J26" s="5"/>
      <c r="K26" s="36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 ht="18" customHeight="1" x14ac:dyDescent="0.25">
      <c r="A27" s="56" t="s">
        <v>69</v>
      </c>
      <c r="B27" s="54" t="s">
        <v>70</v>
      </c>
      <c r="C27" s="58">
        <v>5</v>
      </c>
      <c r="D27" s="32"/>
      <c r="E27" s="60"/>
      <c r="F27" s="21"/>
      <c r="G27" s="33" t="s">
        <v>162</v>
      </c>
      <c r="H27" s="13"/>
      <c r="I27" s="9"/>
      <c r="J27" s="5"/>
      <c r="K27" s="36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spans="1:25" ht="18" customHeight="1" x14ac:dyDescent="0.25">
      <c r="A28" s="56" t="s">
        <v>71</v>
      </c>
      <c r="B28" s="54" t="s">
        <v>72</v>
      </c>
      <c r="C28" s="58">
        <v>3</v>
      </c>
      <c r="D28" s="32"/>
      <c r="E28" s="60"/>
      <c r="F28" s="21"/>
      <c r="G28" s="33" t="s">
        <v>162</v>
      </c>
      <c r="H28" s="13"/>
      <c r="I28" s="9"/>
      <c r="J28" s="5" t="s">
        <v>150</v>
      </c>
      <c r="K28" s="36">
        <v>86.44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spans="1:25" ht="18" customHeight="1" x14ac:dyDescent="0.25">
      <c r="A29" s="56" t="s">
        <v>73</v>
      </c>
      <c r="B29" s="54" t="s">
        <v>74</v>
      </c>
      <c r="C29" s="58">
        <v>2</v>
      </c>
      <c r="D29" s="32"/>
      <c r="E29" s="60"/>
      <c r="F29" s="21"/>
      <c r="G29" s="33" t="s">
        <v>162</v>
      </c>
      <c r="H29" s="13"/>
      <c r="I29" s="9"/>
      <c r="J29" s="5" t="s">
        <v>151</v>
      </c>
      <c r="K29" s="36">
        <v>107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spans="1:25" ht="18" customHeight="1" x14ac:dyDescent="0.25">
      <c r="A30" s="56" t="s">
        <v>94</v>
      </c>
      <c r="B30" s="54" t="s">
        <v>64</v>
      </c>
      <c r="C30" s="58">
        <v>1</v>
      </c>
      <c r="D30" s="32"/>
      <c r="E30" s="60"/>
      <c r="F30" s="21"/>
      <c r="G30" s="33" t="s">
        <v>162</v>
      </c>
      <c r="H30" s="13"/>
      <c r="I30" s="9"/>
      <c r="J30" s="5" t="s">
        <v>131</v>
      </c>
      <c r="K30" s="36">
        <v>1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spans="1:25" ht="18" customHeight="1" x14ac:dyDescent="0.25">
      <c r="A31" s="56" t="s">
        <v>116</v>
      </c>
      <c r="B31" s="54" t="s">
        <v>68</v>
      </c>
      <c r="C31" s="58">
        <v>3</v>
      </c>
      <c r="D31" s="32"/>
      <c r="E31" s="60"/>
      <c r="F31" s="21"/>
      <c r="G31" s="33" t="s">
        <v>162</v>
      </c>
      <c r="H31" s="13"/>
      <c r="I31" s="9"/>
      <c r="J31" s="5" t="s">
        <v>152</v>
      </c>
      <c r="K31" s="36">
        <v>1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ht="18" customHeight="1" x14ac:dyDescent="0.25">
      <c r="A32" s="56" t="s">
        <v>116</v>
      </c>
      <c r="B32" s="54" t="s">
        <v>117</v>
      </c>
      <c r="C32" s="58">
        <v>2</v>
      </c>
      <c r="D32" s="32"/>
      <c r="E32" s="60"/>
      <c r="F32" s="21"/>
      <c r="G32" s="33" t="s">
        <v>162</v>
      </c>
      <c r="H32" s="13"/>
      <c r="I32" s="9"/>
      <c r="J32" s="5" t="s">
        <v>153</v>
      </c>
      <c r="K32" s="36">
        <v>1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5" ht="18" customHeight="1" x14ac:dyDescent="0.25">
      <c r="A33" s="7" t="s">
        <v>32</v>
      </c>
      <c r="B33" s="6" t="s">
        <v>37</v>
      </c>
      <c r="C33" s="6" t="s">
        <v>0</v>
      </c>
      <c r="D33" s="6"/>
      <c r="E33" s="6"/>
      <c r="F33" s="21"/>
      <c r="G33" s="34"/>
      <c r="H33" s="22"/>
      <c r="I33" s="9"/>
      <c r="J33" s="5" t="s">
        <v>154</v>
      </c>
      <c r="K33" s="36">
        <v>8.4600000000000009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spans="1:25" ht="18" customHeight="1" x14ac:dyDescent="0.25">
      <c r="A34" s="56" t="s">
        <v>227</v>
      </c>
      <c r="B34" s="54" t="s">
        <v>75</v>
      </c>
      <c r="C34" s="58">
        <v>3</v>
      </c>
      <c r="D34" s="57"/>
      <c r="E34" s="57"/>
      <c r="F34" s="21"/>
      <c r="G34" s="33" t="s">
        <v>162</v>
      </c>
      <c r="H34" s="13"/>
      <c r="I34" s="9"/>
      <c r="J34" s="5" t="s">
        <v>155</v>
      </c>
      <c r="K34" s="36">
        <v>1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spans="1:25" ht="18" customHeight="1" x14ac:dyDescent="0.25">
      <c r="A35" s="64" t="s">
        <v>256</v>
      </c>
      <c r="B35" s="55" t="s">
        <v>75</v>
      </c>
      <c r="C35" s="65">
        <v>1</v>
      </c>
      <c r="D35" s="66"/>
      <c r="E35" s="66"/>
      <c r="F35" s="21"/>
      <c r="G35" s="33" t="s">
        <v>162</v>
      </c>
      <c r="H35" s="13"/>
      <c r="I35" s="9"/>
      <c r="J35" s="5" t="s">
        <v>156</v>
      </c>
      <c r="K35" s="36">
        <v>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spans="1:25" ht="18" customHeight="1" x14ac:dyDescent="0.25">
      <c r="A36" s="64" t="s">
        <v>257</v>
      </c>
      <c r="B36" s="55" t="s">
        <v>75</v>
      </c>
      <c r="C36" s="65">
        <v>1</v>
      </c>
      <c r="D36" s="66"/>
      <c r="E36" s="66"/>
      <c r="F36" s="21"/>
      <c r="G36" s="33"/>
      <c r="H36" s="13"/>
      <c r="I36" s="9"/>
      <c r="J36" s="5"/>
      <c r="K36" s="36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spans="1:25" ht="18" customHeight="1" x14ac:dyDescent="0.25">
      <c r="A37" s="64" t="s">
        <v>258</v>
      </c>
      <c r="B37" s="55" t="s">
        <v>75</v>
      </c>
      <c r="C37" s="65">
        <v>1</v>
      </c>
      <c r="D37" s="66"/>
      <c r="E37" s="66"/>
      <c r="F37" s="21"/>
      <c r="G37" s="33"/>
      <c r="H37" s="13"/>
      <c r="I37" s="9"/>
      <c r="J37" s="5"/>
      <c r="K37" s="36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spans="1:25" ht="18" customHeight="1" x14ac:dyDescent="0.25">
      <c r="A38" s="56" t="s">
        <v>228</v>
      </c>
      <c r="B38" s="54" t="s">
        <v>76</v>
      </c>
      <c r="C38" s="58">
        <v>1</v>
      </c>
      <c r="D38" s="32"/>
      <c r="E38" s="32"/>
      <c r="F38" s="21"/>
      <c r="G38" s="33" t="s">
        <v>162</v>
      </c>
      <c r="H38" s="13"/>
      <c r="I38" s="9"/>
      <c r="J38" s="5" t="s">
        <v>164</v>
      </c>
      <c r="K38" s="36">
        <v>127.64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 ht="27.6" x14ac:dyDescent="0.25">
      <c r="A39" s="71" t="s">
        <v>43</v>
      </c>
      <c r="B39" s="72" t="s">
        <v>39</v>
      </c>
      <c r="C39" s="73">
        <v>0</v>
      </c>
      <c r="D39" s="73"/>
      <c r="E39" s="73"/>
      <c r="F39" s="21"/>
      <c r="G39" s="21" t="e">
        <f>#REF!</f>
        <v>#REF!</v>
      </c>
      <c r="H39" s="23" t="s">
        <v>176</v>
      </c>
      <c r="I39" s="9"/>
      <c r="J39" s="5" t="s">
        <v>157</v>
      </c>
      <c r="K39" s="36">
        <v>0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spans="1:25" ht="18" customHeight="1" x14ac:dyDescent="0.25">
      <c r="A40" s="56" t="s">
        <v>254</v>
      </c>
      <c r="B40" s="54" t="s">
        <v>252</v>
      </c>
      <c r="C40" s="57">
        <v>1</v>
      </c>
      <c r="D40" s="67"/>
      <c r="E40" s="57"/>
      <c r="F40" s="21"/>
      <c r="G40" s="33" t="s">
        <v>162</v>
      </c>
      <c r="H40" s="13"/>
      <c r="I40" s="9"/>
      <c r="J40" s="5" t="s">
        <v>136</v>
      </c>
      <c r="K40" s="36">
        <v>0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25" ht="18" customHeight="1" x14ac:dyDescent="0.25">
      <c r="A41" s="56" t="s">
        <v>254</v>
      </c>
      <c r="B41" s="54" t="s">
        <v>253</v>
      </c>
      <c r="C41" s="57">
        <v>1</v>
      </c>
      <c r="D41" s="67"/>
      <c r="E41" s="57"/>
      <c r="F41" s="21"/>
      <c r="G41" s="33" t="s">
        <v>162</v>
      </c>
      <c r="H41" s="13"/>
      <c r="I41" s="9"/>
      <c r="J41" s="5" t="s">
        <v>158</v>
      </c>
      <c r="K41" s="36">
        <v>5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spans="1:25" ht="18" customHeight="1" x14ac:dyDescent="0.25">
      <c r="A42" s="64" t="s">
        <v>255</v>
      </c>
      <c r="B42" s="55" t="s">
        <v>77</v>
      </c>
      <c r="C42" s="65">
        <v>1</v>
      </c>
      <c r="D42" s="66"/>
      <c r="E42" s="66"/>
      <c r="F42" s="21"/>
      <c r="G42" s="33" t="s">
        <v>162</v>
      </c>
      <c r="H42" s="13"/>
      <c r="I42" s="9"/>
      <c r="J42" s="5" t="s">
        <v>130</v>
      </c>
      <c r="K42" s="36">
        <v>2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spans="1:25" ht="18" customHeight="1" x14ac:dyDescent="0.25">
      <c r="A43" s="56" t="s">
        <v>78</v>
      </c>
      <c r="B43" s="54" t="s">
        <v>0</v>
      </c>
      <c r="C43" s="57">
        <v>2</v>
      </c>
      <c r="D43" s="57"/>
      <c r="E43" s="57"/>
      <c r="F43" s="21"/>
      <c r="G43" s="21">
        <f>K46</f>
        <v>3</v>
      </c>
      <c r="H43" s="23" t="s">
        <v>177</v>
      </c>
      <c r="I43" s="9"/>
      <c r="J43" s="5" t="s">
        <v>58</v>
      </c>
      <c r="K43" s="36">
        <v>7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spans="1:25" ht="18" customHeight="1" x14ac:dyDescent="0.25">
      <c r="A44" s="56" t="s">
        <v>118</v>
      </c>
      <c r="B44" s="54" t="s">
        <v>77</v>
      </c>
      <c r="C44" s="58">
        <v>12</v>
      </c>
      <c r="D44" s="57"/>
      <c r="E44" s="57"/>
      <c r="F44" s="21"/>
      <c r="G44" s="33" t="s">
        <v>162</v>
      </c>
      <c r="H44" s="13"/>
      <c r="I44" s="9"/>
      <c r="J44" s="5" t="s">
        <v>99</v>
      </c>
      <c r="K44" s="36">
        <v>7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spans="1:25" ht="18" customHeight="1" x14ac:dyDescent="0.25">
      <c r="A45" s="56" t="s">
        <v>119</v>
      </c>
      <c r="B45" s="54" t="s">
        <v>77</v>
      </c>
      <c r="C45" s="58">
        <v>7</v>
      </c>
      <c r="D45" s="57"/>
      <c r="E45" s="57"/>
      <c r="F45" s="21"/>
      <c r="G45" s="33" t="s">
        <v>162</v>
      </c>
      <c r="H45" s="13"/>
      <c r="I45" s="9"/>
      <c r="J45" s="5" t="s">
        <v>100</v>
      </c>
      <c r="K45" s="36">
        <v>2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spans="1:25" ht="18" customHeight="1" x14ac:dyDescent="0.25">
      <c r="A46" s="56" t="s">
        <v>120</v>
      </c>
      <c r="B46" s="54" t="s">
        <v>79</v>
      </c>
      <c r="C46" s="58">
        <v>10</v>
      </c>
      <c r="D46" s="57"/>
      <c r="E46" s="57"/>
      <c r="F46" s="21"/>
      <c r="G46" s="33" t="s">
        <v>162</v>
      </c>
      <c r="H46" s="13"/>
      <c r="I46" s="9"/>
      <c r="J46" s="5" t="s">
        <v>78</v>
      </c>
      <c r="K46" s="36">
        <v>3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pans="1:25" ht="18" customHeight="1" x14ac:dyDescent="0.25">
      <c r="A47" s="56" t="s">
        <v>121</v>
      </c>
      <c r="B47" s="54" t="s">
        <v>80</v>
      </c>
      <c r="C47" s="58">
        <v>2</v>
      </c>
      <c r="D47" s="57"/>
      <c r="E47" s="57"/>
      <c r="F47" s="21"/>
      <c r="G47" s="33" t="s">
        <v>162</v>
      </c>
      <c r="H47" s="13"/>
      <c r="I47" s="9"/>
      <c r="J47" s="5" t="s">
        <v>165</v>
      </c>
      <c r="K47" s="36">
        <v>30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spans="1:25" ht="18" customHeight="1" x14ac:dyDescent="0.25">
      <c r="A48" s="56" t="s">
        <v>123</v>
      </c>
      <c r="B48" s="54" t="s">
        <v>80</v>
      </c>
      <c r="C48" s="58">
        <v>3</v>
      </c>
      <c r="D48" s="57"/>
      <c r="E48" s="57"/>
      <c r="F48" s="21"/>
      <c r="G48" s="33" t="s">
        <v>162</v>
      </c>
      <c r="H48" s="13"/>
      <c r="I48" s="9"/>
      <c r="J48" s="5" t="s">
        <v>166</v>
      </c>
      <c r="K48" s="36">
        <v>20</v>
      </c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spans="1:25" ht="18" customHeight="1" x14ac:dyDescent="0.25">
      <c r="A49" s="56" t="s">
        <v>122</v>
      </c>
      <c r="B49" s="54" t="s">
        <v>79</v>
      </c>
      <c r="C49" s="58">
        <v>4</v>
      </c>
      <c r="D49" s="57"/>
      <c r="E49" s="57"/>
      <c r="F49" s="21"/>
      <c r="G49" s="33" t="s">
        <v>162</v>
      </c>
      <c r="H49" s="13"/>
      <c r="I49" s="9"/>
      <c r="J49" s="5" t="s">
        <v>167</v>
      </c>
      <c r="K49" s="36">
        <v>10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spans="1:25" ht="27.6" x14ac:dyDescent="0.25">
      <c r="A50" s="56" t="s">
        <v>81</v>
      </c>
      <c r="B50" s="5" t="s">
        <v>82</v>
      </c>
      <c r="C50" s="58">
        <v>2</v>
      </c>
      <c r="D50" s="57"/>
      <c r="E50" s="57"/>
      <c r="F50" s="21"/>
      <c r="G50" s="33" t="s">
        <v>162</v>
      </c>
      <c r="H50" s="23" t="s">
        <v>175</v>
      </c>
      <c r="I50" s="9"/>
      <c r="J50" s="5" t="s">
        <v>168</v>
      </c>
      <c r="K50" s="36">
        <v>20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spans="1:25" ht="41.4" x14ac:dyDescent="0.25">
      <c r="A51" s="56" t="s">
        <v>83</v>
      </c>
      <c r="B51" s="5" t="s">
        <v>84</v>
      </c>
      <c r="C51" s="58">
        <v>2</v>
      </c>
      <c r="D51" s="57"/>
      <c r="E51" s="57"/>
      <c r="F51" s="44" t="s">
        <v>232</v>
      </c>
      <c r="G51" s="21">
        <f>(10*1200)/2440</f>
        <v>4.918032786885246</v>
      </c>
      <c r="H51" s="23" t="s">
        <v>178</v>
      </c>
      <c r="I51" s="9"/>
      <c r="J51" s="5" t="s">
        <v>170</v>
      </c>
      <c r="K51" s="36">
        <v>12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spans="1:25" ht="41.4" x14ac:dyDescent="0.25">
      <c r="A52" s="56" t="s">
        <v>85</v>
      </c>
      <c r="B52" s="54" t="s">
        <v>39</v>
      </c>
      <c r="C52" s="58">
        <v>1</v>
      </c>
      <c r="D52" s="57"/>
      <c r="E52" s="57"/>
      <c r="F52" s="44" t="s">
        <v>231</v>
      </c>
      <c r="G52" s="21">
        <v>7</v>
      </c>
      <c r="H52" s="23" t="s">
        <v>179</v>
      </c>
      <c r="I52" s="9"/>
      <c r="J52" s="5" t="s">
        <v>171</v>
      </c>
      <c r="K52" s="36">
        <v>3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spans="1:25" ht="27.6" x14ac:dyDescent="0.25">
      <c r="A53" s="64" t="s">
        <v>259</v>
      </c>
      <c r="B53" s="55" t="s">
        <v>223</v>
      </c>
      <c r="C53" s="57">
        <v>3</v>
      </c>
      <c r="D53" s="66"/>
      <c r="E53" s="66"/>
      <c r="F53" s="21"/>
      <c r="G53" s="21">
        <f>O17</f>
        <v>2</v>
      </c>
      <c r="H53" s="23"/>
      <c r="I53" s="9"/>
      <c r="J53" s="5" t="s">
        <v>172</v>
      </c>
      <c r="K53" s="36">
        <v>7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spans="1:25" ht="27.6" x14ac:dyDescent="0.25">
      <c r="A54" s="64" t="s">
        <v>260</v>
      </c>
      <c r="B54" s="55" t="s">
        <v>163</v>
      </c>
      <c r="C54" s="57">
        <v>2</v>
      </c>
      <c r="D54" s="66"/>
      <c r="E54" s="66"/>
      <c r="F54" s="21"/>
      <c r="G54" s="21">
        <f>U17</f>
        <v>3</v>
      </c>
      <c r="H54" s="23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spans="1:25" ht="13.8" x14ac:dyDescent="0.25">
      <c r="A55" s="71" t="s">
        <v>273</v>
      </c>
      <c r="B55" s="72" t="s">
        <v>44</v>
      </c>
      <c r="C55" s="73">
        <v>8</v>
      </c>
      <c r="D55" s="73"/>
      <c r="E55" s="73"/>
      <c r="F55" s="21">
        <f>58.53/3.65+5</f>
        <v>21.035616438356165</v>
      </c>
      <c r="G55" s="21"/>
      <c r="H55" s="23" t="s">
        <v>234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spans="1:25" s="3" customFormat="1" ht="27.6" x14ac:dyDescent="0.25">
      <c r="A56" s="71" t="s">
        <v>47</v>
      </c>
      <c r="B56" s="72" t="s">
        <v>41</v>
      </c>
      <c r="C56" s="73">
        <v>0</v>
      </c>
      <c r="D56" s="73"/>
      <c r="E56" s="73"/>
      <c r="F56" s="21">
        <f>5.54/2.5</f>
        <v>2.2160000000000002</v>
      </c>
      <c r="G56" s="21">
        <f>K47/2.5</f>
        <v>12</v>
      </c>
      <c r="H56" s="23" t="s">
        <v>180</v>
      </c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</row>
    <row r="57" spans="1:25" ht="27.6" x14ac:dyDescent="0.25">
      <c r="A57" s="56" t="s">
        <v>45</v>
      </c>
      <c r="B57" s="5" t="s">
        <v>41</v>
      </c>
      <c r="C57" s="57">
        <v>9</v>
      </c>
      <c r="D57" s="67"/>
      <c r="E57" s="57"/>
      <c r="F57" s="21">
        <f>20/2.5</f>
        <v>8</v>
      </c>
      <c r="G57" s="21" t="e">
        <f>#REF!/2.5</f>
        <v>#REF!</v>
      </c>
      <c r="H57" s="23" t="s">
        <v>181</v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spans="1:25" ht="27.6" x14ac:dyDescent="0.25">
      <c r="A58" s="68" t="s">
        <v>261</v>
      </c>
      <c r="B58" s="5" t="s">
        <v>108</v>
      </c>
      <c r="C58" s="57">
        <v>10</v>
      </c>
      <c r="D58" s="67"/>
      <c r="E58" s="57"/>
      <c r="F58" s="21">
        <f>21.2/2.3</f>
        <v>9.2173913043478262</v>
      </c>
      <c r="G58" s="21" t="e">
        <f>#REF!/2.3</f>
        <v>#REF!</v>
      </c>
      <c r="H58" s="23" t="s">
        <v>182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spans="1:25" ht="27.6" x14ac:dyDescent="0.25">
      <c r="A59" s="68" t="s">
        <v>262</v>
      </c>
      <c r="B59" s="5" t="s">
        <v>108</v>
      </c>
      <c r="C59" s="57">
        <v>7</v>
      </c>
      <c r="D59" s="57"/>
      <c r="E59" s="57"/>
      <c r="F59" s="21">
        <f>13.9/2.3</f>
        <v>6.0434782608695654</v>
      </c>
      <c r="G59" s="21" t="e">
        <f>#REF!/2.3</f>
        <v>#REF!</v>
      </c>
      <c r="H59" s="23" t="s">
        <v>183</v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spans="1:25" ht="41.4" x14ac:dyDescent="0.25">
      <c r="A60" s="56" t="s">
        <v>86</v>
      </c>
      <c r="B60" s="32" t="s">
        <v>39</v>
      </c>
      <c r="C60" s="57">
        <v>5</v>
      </c>
      <c r="D60" s="57"/>
      <c r="E60" s="57"/>
      <c r="F60" s="21">
        <f>12/2.5</f>
        <v>4.8</v>
      </c>
      <c r="G60" s="21" t="e">
        <f>#REF!/2.5</f>
        <v>#REF!</v>
      </c>
      <c r="H60" s="23" t="s">
        <v>233</v>
      </c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spans="1:25" ht="18" customHeight="1" x14ac:dyDescent="0.25">
      <c r="A61" s="71" t="s">
        <v>87</v>
      </c>
      <c r="B61" s="74" t="s">
        <v>7</v>
      </c>
      <c r="C61" s="73">
        <v>0</v>
      </c>
      <c r="D61" s="73"/>
      <c r="E61" s="73"/>
      <c r="F61" s="21">
        <f>13.9/2.8</f>
        <v>4.9642857142857144</v>
      </c>
      <c r="G61" s="21" t="e">
        <f>#REF!/2.8</f>
        <v>#REF!</v>
      </c>
      <c r="H61" s="23" t="s">
        <v>184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spans="1:25" ht="18" customHeight="1" x14ac:dyDescent="0.25">
      <c r="A62" s="56" t="s">
        <v>88</v>
      </c>
      <c r="B62" s="32" t="s">
        <v>46</v>
      </c>
      <c r="C62" s="57">
        <v>4</v>
      </c>
      <c r="D62" s="57"/>
      <c r="E62" s="57"/>
      <c r="F62" s="21"/>
      <c r="G62" s="21" t="e">
        <f>#REF!</f>
        <v>#REF!</v>
      </c>
      <c r="H62" s="23" t="s">
        <v>185</v>
      </c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spans="1:25" ht="18" customHeight="1" x14ac:dyDescent="0.25">
      <c r="A63" s="56" t="s">
        <v>89</v>
      </c>
      <c r="B63" s="5" t="s">
        <v>90</v>
      </c>
      <c r="C63" s="57">
        <v>9</v>
      </c>
      <c r="D63" s="57"/>
      <c r="E63" s="57"/>
      <c r="F63" s="21">
        <f>32/3.75</f>
        <v>8.5333333333333332</v>
      </c>
      <c r="G63" s="21">
        <f>K16/3.75</f>
        <v>12</v>
      </c>
      <c r="H63" s="23" t="s">
        <v>186</v>
      </c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spans="1:25" ht="18" customHeight="1" x14ac:dyDescent="0.25">
      <c r="A64" s="56" t="s">
        <v>91</v>
      </c>
      <c r="B64" s="5" t="s">
        <v>107</v>
      </c>
      <c r="C64" s="57">
        <v>9</v>
      </c>
      <c r="D64" s="57"/>
      <c r="E64" s="57"/>
      <c r="F64" s="21">
        <f>21.91/2.5</f>
        <v>8.7639999999999993</v>
      </c>
      <c r="G64" s="21" t="e">
        <f>#REF!/2.5</f>
        <v>#REF!</v>
      </c>
      <c r="H64" s="23" t="s">
        <v>222</v>
      </c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spans="1:25" ht="18" customHeight="1" x14ac:dyDescent="0.25">
      <c r="A65" s="7" t="s">
        <v>54</v>
      </c>
      <c r="B65" s="6" t="s">
        <v>31</v>
      </c>
      <c r="C65" s="6" t="s">
        <v>0</v>
      </c>
      <c r="D65" s="6" t="s">
        <v>221</v>
      </c>
      <c r="E65" s="6"/>
      <c r="F65" s="21"/>
      <c r="G65" s="21"/>
      <c r="H65" s="23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spans="1:25" ht="27.6" x14ac:dyDescent="0.25">
      <c r="A66" s="71" t="s">
        <v>92</v>
      </c>
      <c r="B66" s="72" t="s">
        <v>101</v>
      </c>
      <c r="C66" s="73">
        <v>36</v>
      </c>
      <c r="D66" s="80"/>
      <c r="E66" s="73"/>
      <c r="F66" s="21">
        <f>(148.4)/4.1+5</f>
        <v>41.195121951219519</v>
      </c>
      <c r="G66" s="21" t="e">
        <f>#REF!/4.1</f>
        <v>#REF!</v>
      </c>
      <c r="H66" s="23" t="s">
        <v>187</v>
      </c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spans="1:25" ht="18" customHeight="1" x14ac:dyDescent="0.25">
      <c r="A67" s="56" t="s">
        <v>124</v>
      </c>
      <c r="B67" s="5" t="s">
        <v>125</v>
      </c>
      <c r="C67" s="57">
        <v>9</v>
      </c>
      <c r="D67" s="31">
        <v>268.56</v>
      </c>
      <c r="E67" s="57"/>
      <c r="F67" s="21">
        <f>29.84*9</f>
        <v>268.56</v>
      </c>
      <c r="G67" s="21">
        <f>K51</f>
        <v>12</v>
      </c>
      <c r="H67" s="25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spans="1:25" ht="18" customHeight="1" x14ac:dyDescent="0.25">
      <c r="A68" s="7" t="s">
        <v>33</v>
      </c>
      <c r="B68" s="6" t="s">
        <v>31</v>
      </c>
      <c r="C68" s="6" t="s">
        <v>0</v>
      </c>
      <c r="D68" s="6"/>
      <c r="E68" s="6"/>
      <c r="F68" s="21"/>
      <c r="G68" s="21"/>
      <c r="H68" s="22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spans="1:25" ht="18" customHeight="1" x14ac:dyDescent="0.25">
      <c r="A69" s="22" t="s">
        <v>263</v>
      </c>
      <c r="B69" s="32">
        <v>3500</v>
      </c>
      <c r="C69" s="32">
        <v>22</v>
      </c>
      <c r="D69" s="32"/>
      <c r="E69" s="32"/>
      <c r="F69" s="21"/>
      <c r="G69" s="21"/>
      <c r="H69" s="22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spans="1:25" ht="18" customHeight="1" x14ac:dyDescent="0.25">
      <c r="A70" s="22" t="s">
        <v>264</v>
      </c>
      <c r="B70" s="32" t="s">
        <v>55</v>
      </c>
      <c r="C70" s="57">
        <v>5</v>
      </c>
      <c r="D70" s="32"/>
      <c r="E70" s="32"/>
      <c r="F70" s="21">
        <f>10.6/2.6</f>
        <v>4.0769230769230766</v>
      </c>
      <c r="G70" s="21" t="e">
        <f>#REF!/0.8</f>
        <v>#REF!</v>
      </c>
      <c r="H70" s="22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spans="1:25" ht="18" customHeight="1" x14ac:dyDescent="0.25">
      <c r="A71" s="81" t="s">
        <v>265</v>
      </c>
      <c r="B71" s="74" t="s">
        <v>55</v>
      </c>
      <c r="C71" s="73">
        <v>0</v>
      </c>
      <c r="D71" s="74"/>
      <c r="E71" s="74"/>
      <c r="F71" s="21">
        <f>21.2/2.6</f>
        <v>8.1538461538461533</v>
      </c>
      <c r="G71" s="21" t="e">
        <f>#REF!/2.6</f>
        <v>#REF!</v>
      </c>
      <c r="H71" s="22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spans="1:25" ht="18" customHeight="1" x14ac:dyDescent="0.25">
      <c r="A72" s="62" t="s">
        <v>126</v>
      </c>
      <c r="B72" s="32" t="s">
        <v>127</v>
      </c>
      <c r="C72" s="57">
        <v>2</v>
      </c>
      <c r="D72" s="32"/>
      <c r="E72" s="32"/>
      <c r="F72" s="21">
        <f>C70*2.8/10</f>
        <v>1.4</v>
      </c>
      <c r="G72" s="21" t="e">
        <f>(#REF!+K39+#REF!)/10</f>
        <v>#REF!</v>
      </c>
      <c r="H72" s="22" t="s">
        <v>189</v>
      </c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spans="1:25" ht="27.6" x14ac:dyDescent="0.25">
      <c r="A73" s="75" t="s">
        <v>137</v>
      </c>
      <c r="B73" s="74" t="s">
        <v>138</v>
      </c>
      <c r="C73" s="73">
        <v>4</v>
      </c>
      <c r="D73" s="74"/>
      <c r="E73" s="74"/>
      <c r="F73" s="21">
        <f>61.12/9.6</f>
        <v>6.3666666666666663</v>
      </c>
      <c r="G73" s="21" t="e">
        <f>#REF!/9.6</f>
        <v>#REF!</v>
      </c>
      <c r="H73" s="22" t="s">
        <v>188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spans="1:25" ht="18" customHeight="1" x14ac:dyDescent="0.25">
      <c r="A74" s="7" t="s">
        <v>56</v>
      </c>
      <c r="B74" s="6" t="s">
        <v>31</v>
      </c>
      <c r="C74" s="6" t="s">
        <v>0</v>
      </c>
      <c r="D74" s="6"/>
      <c r="E74" s="6"/>
      <c r="F74" s="21"/>
      <c r="G74" s="21"/>
      <c r="H74" s="22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spans="1:25" ht="18" customHeight="1" x14ac:dyDescent="0.25">
      <c r="A75" s="75" t="s">
        <v>128</v>
      </c>
      <c r="B75" s="74" t="s">
        <v>53</v>
      </c>
      <c r="C75" s="73">
        <v>0</v>
      </c>
      <c r="D75" s="74"/>
      <c r="E75" s="74"/>
      <c r="F75" s="21">
        <f>6.68*1.08/(1.2*2.4)</f>
        <v>2.5050000000000003</v>
      </c>
      <c r="G75" s="21">
        <f>K53*1.08/(1.2*2.4)</f>
        <v>2.6250000000000004</v>
      </c>
      <c r="H75" s="22" t="s">
        <v>230</v>
      </c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spans="1:25" ht="18" customHeight="1" x14ac:dyDescent="0.25">
      <c r="A76" s="7" t="s">
        <v>52</v>
      </c>
      <c r="B76" s="6" t="s">
        <v>31</v>
      </c>
      <c r="C76" s="6" t="s">
        <v>0</v>
      </c>
      <c r="D76" s="6"/>
      <c r="E76" s="6"/>
      <c r="F76" s="21"/>
      <c r="G76" s="21"/>
      <c r="H76" s="22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spans="1:25" ht="27.6" x14ac:dyDescent="0.25">
      <c r="A77" s="79" t="s">
        <v>96</v>
      </c>
      <c r="B77" s="74" t="s">
        <v>8</v>
      </c>
      <c r="C77" s="73">
        <v>8</v>
      </c>
      <c r="D77" s="74"/>
      <c r="E77" s="74"/>
      <c r="F77" s="21">
        <f>44.46*1.05/(1.2*2.5)</f>
        <v>15.561</v>
      </c>
      <c r="G77" s="21">
        <f>K21*1.05/(1.2*2.5)</f>
        <v>24.058999999999997</v>
      </c>
      <c r="H77" s="22" t="s">
        <v>190</v>
      </c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spans="1:25" ht="27.6" x14ac:dyDescent="0.25">
      <c r="A78" s="79" t="s">
        <v>97</v>
      </c>
      <c r="B78" s="74" t="s">
        <v>8</v>
      </c>
      <c r="C78" s="73">
        <v>0</v>
      </c>
      <c r="D78" s="74"/>
      <c r="E78" s="74"/>
      <c r="F78" s="21">
        <f>4.43*1.05/(1.2*2.5)</f>
        <v>1.5504999999999998</v>
      </c>
      <c r="G78" s="21">
        <f>K23*1.05/(1.2*2.5)</f>
        <v>1.9075</v>
      </c>
      <c r="H78" s="22" t="s">
        <v>191</v>
      </c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spans="1:25" ht="18" customHeight="1" x14ac:dyDescent="0.25">
      <c r="A79" s="7" t="s">
        <v>35</v>
      </c>
      <c r="B79" s="6" t="s">
        <v>31</v>
      </c>
      <c r="C79" s="6" t="s">
        <v>0</v>
      </c>
      <c r="D79" s="6"/>
      <c r="E79" s="6"/>
      <c r="F79" s="21"/>
      <c r="G79" s="21"/>
      <c r="H79" s="22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spans="1:25" ht="27.6" x14ac:dyDescent="0.25">
      <c r="A80" s="56" t="s">
        <v>266</v>
      </c>
      <c r="B80" s="63" t="s">
        <v>22</v>
      </c>
      <c r="C80" s="57">
        <v>6</v>
      </c>
      <c r="D80" s="58"/>
      <c r="E80" s="32"/>
      <c r="F80" s="21">
        <f>21.2/3.8</f>
        <v>5.5789473684210531</v>
      </c>
      <c r="G80" s="21" t="e">
        <f>#REF!/3.8</f>
        <v>#REF!</v>
      </c>
      <c r="H80" s="22" t="s">
        <v>192</v>
      </c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spans="1:25" ht="18" customHeight="1" x14ac:dyDescent="0.25">
      <c r="A81" s="62" t="s">
        <v>20</v>
      </c>
      <c r="B81" s="63" t="s">
        <v>0</v>
      </c>
      <c r="C81" s="57">
        <v>6</v>
      </c>
      <c r="D81" s="58"/>
      <c r="E81" s="32"/>
      <c r="F81" s="21"/>
      <c r="G81" s="21">
        <f>K41</f>
        <v>5</v>
      </c>
      <c r="H81" s="22" t="s">
        <v>193</v>
      </c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spans="1:25" s="3" customFormat="1" ht="18" customHeight="1" x14ac:dyDescent="0.25">
      <c r="A82" s="62" t="s">
        <v>225</v>
      </c>
      <c r="B82" s="63" t="s">
        <v>0</v>
      </c>
      <c r="C82" s="57">
        <v>4</v>
      </c>
      <c r="D82" s="58"/>
      <c r="E82" s="32"/>
      <c r="F82" s="21"/>
      <c r="G82" s="21" t="e">
        <f>#REF!</f>
        <v>#REF!</v>
      </c>
      <c r="H82" s="22"/>
      <c r="I82" s="9"/>
      <c r="J82" s="9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</row>
    <row r="83" spans="1:25" s="3" customFormat="1" ht="18" customHeight="1" x14ac:dyDescent="0.25">
      <c r="A83" s="62" t="s">
        <v>48</v>
      </c>
      <c r="B83" s="63" t="s">
        <v>39</v>
      </c>
      <c r="C83" s="57">
        <v>6</v>
      </c>
      <c r="D83" s="61"/>
      <c r="E83" s="61"/>
      <c r="F83" s="21"/>
      <c r="G83" s="21">
        <f>K41</f>
        <v>5</v>
      </c>
      <c r="H83" s="22"/>
      <c r="I83" s="9"/>
      <c r="J83" s="9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</row>
    <row r="84" spans="1:25" s="3" customFormat="1" ht="18" customHeight="1" x14ac:dyDescent="0.25">
      <c r="A84" s="62" t="s">
        <v>48</v>
      </c>
      <c r="B84" s="63" t="s">
        <v>229</v>
      </c>
      <c r="C84" s="57">
        <v>6</v>
      </c>
      <c r="D84" s="61"/>
      <c r="E84" s="61"/>
      <c r="F84" s="21"/>
      <c r="G84" s="21">
        <f>K41</f>
        <v>5</v>
      </c>
      <c r="H84" s="22"/>
      <c r="I84" s="9"/>
      <c r="J84" s="9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</row>
    <row r="85" spans="1:25" ht="18" customHeight="1" x14ac:dyDescent="0.25">
      <c r="A85" s="62" t="s">
        <v>49</v>
      </c>
      <c r="B85" s="63" t="s">
        <v>0</v>
      </c>
      <c r="C85" s="57">
        <v>12</v>
      </c>
      <c r="D85" s="58"/>
      <c r="E85" s="32"/>
      <c r="F85" s="21"/>
      <c r="G85" s="21">
        <f>K41*2</f>
        <v>10</v>
      </c>
      <c r="H85" s="22" t="s">
        <v>194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spans="1:25" ht="18" customHeight="1" x14ac:dyDescent="0.25">
      <c r="A86" s="62" t="s">
        <v>50</v>
      </c>
      <c r="B86" s="63" t="s">
        <v>0</v>
      </c>
      <c r="C86" s="57">
        <v>6</v>
      </c>
      <c r="D86" s="58"/>
      <c r="E86" s="32"/>
      <c r="F86" s="21"/>
      <c r="G86" s="21">
        <f>K41</f>
        <v>5</v>
      </c>
      <c r="H86" s="22" t="s">
        <v>195</v>
      </c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spans="1:25" ht="18" customHeight="1" x14ac:dyDescent="0.25">
      <c r="A87" s="62" t="s">
        <v>109</v>
      </c>
      <c r="B87" s="63" t="s">
        <v>0</v>
      </c>
      <c r="C87" s="57">
        <v>12</v>
      </c>
      <c r="D87" s="70"/>
      <c r="E87" s="61"/>
      <c r="F87" s="21"/>
      <c r="G87" s="21">
        <f>K41*2</f>
        <v>10</v>
      </c>
      <c r="H87" s="22" t="s">
        <v>194</v>
      </c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spans="1:25" ht="18" customHeight="1" x14ac:dyDescent="0.25">
      <c r="A88" s="62" t="s">
        <v>23</v>
      </c>
      <c r="B88" s="63" t="s">
        <v>0</v>
      </c>
      <c r="C88" s="57">
        <v>48</v>
      </c>
      <c r="D88" s="58"/>
      <c r="E88" s="32"/>
      <c r="F88" s="21"/>
      <c r="G88" s="21">
        <f>C80*8</f>
        <v>48</v>
      </c>
      <c r="H88" s="22" t="s">
        <v>196</v>
      </c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spans="1:25" s="3" customFormat="1" ht="18" customHeight="1" x14ac:dyDescent="0.25">
      <c r="A89" s="7" t="s">
        <v>17</v>
      </c>
      <c r="B89" s="6" t="s">
        <v>31</v>
      </c>
      <c r="C89" s="6" t="s">
        <v>0</v>
      </c>
      <c r="D89" s="6"/>
      <c r="E89" s="6"/>
      <c r="F89" s="21"/>
      <c r="G89" s="21"/>
      <c r="H89" s="22"/>
      <c r="I89" s="9"/>
      <c r="J89" s="9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</row>
    <row r="90" spans="1:25" ht="18" customHeight="1" x14ac:dyDescent="0.25">
      <c r="A90" s="53" t="s">
        <v>247</v>
      </c>
      <c r="B90" s="89" t="s">
        <v>248</v>
      </c>
      <c r="C90" s="89"/>
      <c r="D90" s="89"/>
      <c r="E90" s="89"/>
      <c r="F90" s="21"/>
      <c r="G90" s="21" t="e">
        <f>#REF!</f>
        <v>#REF!</v>
      </c>
      <c r="H90" s="22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spans="1:25" ht="18" customHeight="1" x14ac:dyDescent="0.25">
      <c r="A91" s="62" t="s">
        <v>250</v>
      </c>
      <c r="B91" s="32" t="s">
        <v>95</v>
      </c>
      <c r="C91" s="57">
        <v>3</v>
      </c>
      <c r="D91" s="32"/>
      <c r="E91" s="32"/>
      <c r="F91" s="21"/>
      <c r="G91" s="21" t="e">
        <f>O20+#REF!</f>
        <v>#REF!</v>
      </c>
      <c r="H91" s="22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spans="1:25" ht="18" customHeight="1" x14ac:dyDescent="0.25">
      <c r="A92" s="62" t="s">
        <v>249</v>
      </c>
      <c r="B92" s="32" t="s">
        <v>95</v>
      </c>
      <c r="C92" s="57">
        <v>2</v>
      </c>
      <c r="D92" s="32"/>
      <c r="E92" s="32"/>
      <c r="F92" s="21"/>
      <c r="G92" s="21"/>
      <c r="H92" s="22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spans="1:25" ht="18" customHeight="1" x14ac:dyDescent="0.25">
      <c r="A93" s="53" t="s">
        <v>251</v>
      </c>
      <c r="B93" s="89" t="s">
        <v>248</v>
      </c>
      <c r="C93" s="89"/>
      <c r="D93" s="89"/>
      <c r="E93" s="89"/>
      <c r="F93" s="21"/>
      <c r="G93" s="21">
        <f>O17</f>
        <v>2</v>
      </c>
      <c r="H93" s="22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spans="1:25" ht="18" customHeight="1" x14ac:dyDescent="0.25">
      <c r="A94" s="7" t="s">
        <v>51</v>
      </c>
      <c r="B94" s="6" t="s">
        <v>31</v>
      </c>
      <c r="C94" s="6" t="s">
        <v>0</v>
      </c>
      <c r="D94" s="6"/>
      <c r="E94" s="6"/>
      <c r="F94" s="21"/>
      <c r="G94" s="21"/>
      <c r="H94" s="22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spans="1:25" ht="18" customHeight="1" x14ac:dyDescent="0.25">
      <c r="A95" s="53" t="s">
        <v>129</v>
      </c>
      <c r="B95" s="89" t="s">
        <v>248</v>
      </c>
      <c r="C95" s="89"/>
      <c r="D95" s="89"/>
      <c r="E95" s="89"/>
      <c r="F95" s="21"/>
      <c r="G95" s="21">
        <v>1</v>
      </c>
      <c r="H95" s="22" t="s">
        <v>197</v>
      </c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spans="1:25" ht="18" customHeight="1" x14ac:dyDescent="0.25">
      <c r="A96" s="56" t="s">
        <v>274</v>
      </c>
      <c r="B96" s="5" t="s">
        <v>0</v>
      </c>
      <c r="C96" s="57">
        <v>66</v>
      </c>
      <c r="D96" s="32"/>
      <c r="E96" s="32"/>
      <c r="F96" s="21">
        <f>71.12/1.185+5</f>
        <v>65.016877637130804</v>
      </c>
      <c r="G96" s="21"/>
      <c r="H96" s="22" t="s">
        <v>235</v>
      </c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spans="1:25" ht="18" customHeight="1" x14ac:dyDescent="0.25">
      <c r="A97" s="56" t="s">
        <v>275</v>
      </c>
      <c r="B97" s="5" t="s">
        <v>0</v>
      </c>
      <c r="C97" s="57">
        <v>10</v>
      </c>
      <c r="D97" s="32"/>
      <c r="E97" s="32"/>
      <c r="F97" s="21">
        <f>25.65/3.65+3</f>
        <v>10.027397260273972</v>
      </c>
      <c r="G97" s="21"/>
      <c r="H97" s="22" t="s">
        <v>236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spans="1:25" ht="18" customHeight="1" x14ac:dyDescent="0.25">
      <c r="A98" s="56" t="s">
        <v>276</v>
      </c>
      <c r="B98" s="5" t="s">
        <v>0</v>
      </c>
      <c r="C98" s="57">
        <v>5</v>
      </c>
      <c r="D98" s="32"/>
      <c r="E98" s="32"/>
      <c r="F98" s="21"/>
      <c r="G98" s="21"/>
      <c r="H98" s="22" t="s">
        <v>237</v>
      </c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spans="1:25" ht="18" customHeight="1" x14ac:dyDescent="0.25">
      <c r="A99" s="71" t="s">
        <v>93</v>
      </c>
      <c r="B99" s="72" t="s">
        <v>0</v>
      </c>
      <c r="C99" s="73">
        <v>0</v>
      </c>
      <c r="D99" s="74"/>
      <c r="E99" s="74"/>
      <c r="F99" s="21">
        <f>C44+C45+C47+C48</f>
        <v>24</v>
      </c>
      <c r="G99" s="21">
        <f>C44+C45+C47+C48</f>
        <v>24</v>
      </c>
      <c r="H99" s="22" t="s">
        <v>198</v>
      </c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spans="1:25" ht="18" customHeight="1" x14ac:dyDescent="0.25">
      <c r="A100" s="56" t="s">
        <v>38</v>
      </c>
      <c r="B100" s="5" t="s">
        <v>0</v>
      </c>
      <c r="C100" s="57">
        <v>24</v>
      </c>
      <c r="D100" s="32"/>
      <c r="E100" s="32"/>
      <c r="F100" s="21"/>
      <c r="G100" s="21">
        <f>+C99</f>
        <v>0</v>
      </c>
      <c r="H100" s="22" t="s">
        <v>199</v>
      </c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spans="1:25" ht="18" customHeight="1" x14ac:dyDescent="0.25">
      <c r="A101" s="7" t="s">
        <v>19</v>
      </c>
      <c r="B101" s="6" t="s">
        <v>31</v>
      </c>
      <c r="C101" s="6" t="s">
        <v>0</v>
      </c>
      <c r="D101" s="6"/>
      <c r="E101" s="6"/>
      <c r="F101" s="21"/>
      <c r="G101" s="21"/>
      <c r="H101" s="22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spans="1:25" ht="27.6" x14ac:dyDescent="0.25">
      <c r="A102" s="71" t="s">
        <v>12</v>
      </c>
      <c r="B102" s="72" t="s">
        <v>1</v>
      </c>
      <c r="C102" s="73">
        <v>0</v>
      </c>
      <c r="D102" s="74"/>
      <c r="E102" s="74"/>
      <c r="F102" s="21"/>
      <c r="G102" s="21">
        <f>B6*7.5</f>
        <v>450</v>
      </c>
      <c r="H102" s="28" t="s">
        <v>200</v>
      </c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spans="1:25" ht="18" customHeight="1" x14ac:dyDescent="0.25">
      <c r="A103" s="71" t="s">
        <v>11</v>
      </c>
      <c r="B103" s="72" t="s">
        <v>1</v>
      </c>
      <c r="C103" s="73">
        <v>0</v>
      </c>
      <c r="D103" s="74"/>
      <c r="E103" s="74"/>
      <c r="F103" s="21"/>
      <c r="G103" s="21" t="e">
        <f>(C75+C77+C78+#REF!+#REF!)*50</f>
        <v>#REF!</v>
      </c>
      <c r="H103" s="28" t="s">
        <v>201</v>
      </c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spans="1:25" ht="27.6" x14ac:dyDescent="0.25">
      <c r="A104" s="56" t="s">
        <v>98</v>
      </c>
      <c r="B104" s="5" t="s">
        <v>1</v>
      </c>
      <c r="C104" s="57">
        <v>250</v>
      </c>
      <c r="D104" s="32"/>
      <c r="E104" s="32"/>
      <c r="F104" s="21"/>
      <c r="G104" s="21" t="e">
        <f>((#REF!+#REF!+#REF!+#REF!)*40)+(#REF!*8)+((C124+C125+C126)*4)+((C58+#REF!+#REF!+#REF!)*4)+(C88*3)</f>
        <v>#REF!</v>
      </c>
      <c r="H104" s="28" t="s">
        <v>202</v>
      </c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spans="1:25" ht="27.6" x14ac:dyDescent="0.25">
      <c r="A105" s="71" t="s">
        <v>132</v>
      </c>
      <c r="B105" s="72" t="s">
        <v>1</v>
      </c>
      <c r="C105" s="73">
        <v>0</v>
      </c>
      <c r="D105" s="74"/>
      <c r="E105" s="74"/>
      <c r="F105" s="21"/>
      <c r="G105" s="21" t="e">
        <f>(C67+#REF!)*10+(C39+#REF!+C56+C57+C60)*6+C66*10</f>
        <v>#REF!</v>
      </c>
      <c r="H105" s="28" t="s">
        <v>204</v>
      </c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spans="1:25" ht="27.6" x14ac:dyDescent="0.25">
      <c r="A106" s="71" t="s">
        <v>133</v>
      </c>
      <c r="B106" s="72" t="s">
        <v>1</v>
      </c>
      <c r="C106" s="73">
        <v>0</v>
      </c>
      <c r="D106" s="74"/>
      <c r="E106" s="74"/>
      <c r="F106" s="21"/>
      <c r="G106" s="21">
        <f>(B6*2.5)</f>
        <v>150</v>
      </c>
      <c r="H106" s="28" t="s">
        <v>203</v>
      </c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spans="1:25" ht="27.6" x14ac:dyDescent="0.25">
      <c r="A107" s="56" t="s">
        <v>134</v>
      </c>
      <c r="B107" s="5" t="s">
        <v>1</v>
      </c>
      <c r="C107" s="57">
        <v>400</v>
      </c>
      <c r="D107" s="32"/>
      <c r="E107" s="59"/>
      <c r="F107" s="21"/>
      <c r="G107" s="21">
        <f>B69/200*C69</f>
        <v>385</v>
      </c>
      <c r="H107" s="28" t="s">
        <v>205</v>
      </c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spans="1:25" ht="27.6" x14ac:dyDescent="0.25">
      <c r="A108" s="56" t="s">
        <v>13</v>
      </c>
      <c r="B108" s="5" t="s">
        <v>0</v>
      </c>
      <c r="C108" s="57">
        <v>4</v>
      </c>
      <c r="D108" s="5"/>
      <c r="E108" s="60"/>
      <c r="F108" s="21"/>
      <c r="G108" s="21">
        <f>B6/15</f>
        <v>4</v>
      </c>
      <c r="H108" s="13" t="s">
        <v>206</v>
      </c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spans="1:25" ht="27.6" x14ac:dyDescent="0.25">
      <c r="A109" s="56" t="s">
        <v>14</v>
      </c>
      <c r="B109" s="5" t="s">
        <v>0</v>
      </c>
      <c r="C109" s="57">
        <v>4</v>
      </c>
      <c r="D109" s="5"/>
      <c r="E109" s="60"/>
      <c r="F109" s="21"/>
      <c r="G109" s="21">
        <f>B6/15</f>
        <v>4</v>
      </c>
      <c r="H109" s="29" t="s">
        <v>206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spans="1:25" ht="27.6" x14ac:dyDescent="0.25">
      <c r="A110" s="71" t="s">
        <v>15</v>
      </c>
      <c r="B110" s="72" t="s">
        <v>0</v>
      </c>
      <c r="C110" s="73">
        <v>0</v>
      </c>
      <c r="D110" s="82"/>
      <c r="E110" s="83"/>
      <c r="F110" s="21"/>
      <c r="G110" s="21">
        <f>B6*0.02</f>
        <v>1.2</v>
      </c>
      <c r="H110" s="29" t="s">
        <v>207</v>
      </c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spans="1:25" ht="27.6" x14ac:dyDescent="0.25">
      <c r="A111" s="56" t="s">
        <v>102</v>
      </c>
      <c r="B111" s="5" t="s">
        <v>0</v>
      </c>
      <c r="C111" s="57">
        <v>6</v>
      </c>
      <c r="D111" s="54"/>
      <c r="E111" s="69"/>
      <c r="F111" s="21"/>
      <c r="G111" s="21">
        <f>B6/10</f>
        <v>6</v>
      </c>
      <c r="H111" s="29" t="s">
        <v>208</v>
      </c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spans="1:25" ht="18" customHeight="1" x14ac:dyDescent="0.25">
      <c r="A112" s="71" t="s">
        <v>103</v>
      </c>
      <c r="B112" s="72" t="s">
        <v>0</v>
      </c>
      <c r="C112" s="73">
        <v>0</v>
      </c>
      <c r="D112" s="82"/>
      <c r="E112" s="83"/>
      <c r="F112" s="21"/>
      <c r="G112" s="21">
        <v>1</v>
      </c>
      <c r="H112" s="29" t="s">
        <v>209</v>
      </c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spans="1:25" ht="18" customHeight="1" x14ac:dyDescent="0.25">
      <c r="A113" s="7" t="s">
        <v>18</v>
      </c>
      <c r="B113" s="6" t="s">
        <v>31</v>
      </c>
      <c r="C113" s="6" t="s">
        <v>0</v>
      </c>
      <c r="D113" s="6"/>
      <c r="E113" s="6"/>
      <c r="F113" s="21"/>
      <c r="G113" s="21"/>
      <c r="H113" s="22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spans="1:25" ht="18" customHeight="1" x14ac:dyDescent="0.25">
      <c r="A114" s="75" t="s">
        <v>16</v>
      </c>
      <c r="B114" s="76" t="s">
        <v>0</v>
      </c>
      <c r="C114" s="73">
        <v>0</v>
      </c>
      <c r="D114" s="74"/>
      <c r="E114" s="74"/>
      <c r="F114" s="21"/>
      <c r="G114" s="21" t="e">
        <f>#REF!</f>
        <v>#REF!</v>
      </c>
      <c r="H114" s="28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spans="1:25" ht="18" customHeight="1" x14ac:dyDescent="0.25">
      <c r="A115" s="62" t="s">
        <v>130</v>
      </c>
      <c r="B115" s="63" t="s">
        <v>0</v>
      </c>
      <c r="C115" s="57">
        <v>2</v>
      </c>
      <c r="D115" s="32"/>
      <c r="E115" s="32"/>
      <c r="F115" s="21"/>
      <c r="G115" s="21">
        <f>K42</f>
        <v>2</v>
      </c>
      <c r="H115" s="28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spans="1:25" ht="18" customHeight="1" x14ac:dyDescent="0.25">
      <c r="A116" s="62" t="s">
        <v>105</v>
      </c>
      <c r="B116" s="63" t="s">
        <v>0</v>
      </c>
      <c r="C116" s="57">
        <v>8</v>
      </c>
      <c r="D116" s="32"/>
      <c r="E116" s="32"/>
      <c r="F116" s="21"/>
      <c r="G116" s="21">
        <f>C114+C115</f>
        <v>2</v>
      </c>
      <c r="H116" s="28" t="s">
        <v>210</v>
      </c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spans="1:25" ht="18" customHeight="1" x14ac:dyDescent="0.25">
      <c r="A117" s="62" t="s">
        <v>59</v>
      </c>
      <c r="B117" s="63" t="s">
        <v>10</v>
      </c>
      <c r="C117" s="57">
        <v>130</v>
      </c>
      <c r="D117" s="32"/>
      <c r="E117" s="32"/>
      <c r="F117" s="21"/>
      <c r="G117" s="21">
        <f>C129*8.5+(C124+C125*2+C126)*2</f>
        <v>48</v>
      </c>
      <c r="H117" s="28" t="s">
        <v>211</v>
      </c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spans="1:25" ht="18" customHeight="1" x14ac:dyDescent="0.25">
      <c r="A118" s="62" t="s">
        <v>60</v>
      </c>
      <c r="B118" s="63" t="s">
        <v>10</v>
      </c>
      <c r="C118" s="57">
        <v>100</v>
      </c>
      <c r="D118" s="32"/>
      <c r="E118" s="32"/>
      <c r="F118" s="21"/>
      <c r="G118" s="21">
        <f>C129*8.5+(C122+C123*2)*2</f>
        <v>16</v>
      </c>
      <c r="H118" s="28" t="s">
        <v>212</v>
      </c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spans="1:25" ht="18" customHeight="1" x14ac:dyDescent="0.25">
      <c r="A119" s="62" t="s">
        <v>9</v>
      </c>
      <c r="B119" s="63" t="s">
        <v>10</v>
      </c>
      <c r="C119" s="57">
        <v>25</v>
      </c>
      <c r="D119" s="32"/>
      <c r="E119" s="32"/>
      <c r="F119" s="21"/>
      <c r="G119" s="21">
        <f>K34*25</f>
        <v>25</v>
      </c>
      <c r="H119" s="28" t="s">
        <v>213</v>
      </c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spans="1:25" ht="18" customHeight="1" x14ac:dyDescent="0.25">
      <c r="A120" s="62" t="s">
        <v>135</v>
      </c>
      <c r="B120" s="63" t="s">
        <v>10</v>
      </c>
      <c r="C120" s="57">
        <v>5</v>
      </c>
      <c r="D120" s="32"/>
      <c r="E120" s="32"/>
      <c r="F120" s="21"/>
      <c r="G120" s="21">
        <f>K14*5</f>
        <v>5</v>
      </c>
      <c r="H120" s="28" t="s">
        <v>214</v>
      </c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spans="1:25" ht="18" customHeight="1" x14ac:dyDescent="0.25">
      <c r="A121" s="62" t="s">
        <v>106</v>
      </c>
      <c r="B121" s="63" t="s">
        <v>10</v>
      </c>
      <c r="C121" s="57">
        <v>5</v>
      </c>
      <c r="D121" s="32"/>
      <c r="E121" s="32"/>
      <c r="F121" s="21"/>
      <c r="G121" s="21">
        <f>K14*5</f>
        <v>5</v>
      </c>
      <c r="H121" s="28" t="s">
        <v>214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spans="1:25" ht="18" customHeight="1" x14ac:dyDescent="0.25">
      <c r="A122" s="62" t="s">
        <v>58</v>
      </c>
      <c r="B122" s="63" t="s">
        <v>0</v>
      </c>
      <c r="C122" s="57">
        <v>4</v>
      </c>
      <c r="D122" s="32"/>
      <c r="E122" s="32"/>
      <c r="F122" s="21"/>
      <c r="G122" s="21">
        <f>K43</f>
        <v>7</v>
      </c>
      <c r="H122" s="28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spans="1:25" ht="18" customHeight="1" x14ac:dyDescent="0.25">
      <c r="A123" s="62" t="s">
        <v>61</v>
      </c>
      <c r="B123" s="63" t="s">
        <v>0</v>
      </c>
      <c r="C123" s="57">
        <v>2</v>
      </c>
      <c r="D123" s="32"/>
      <c r="E123" s="32"/>
      <c r="F123" s="21"/>
      <c r="G123" s="21" t="e">
        <f>#REF!</f>
        <v>#REF!</v>
      </c>
      <c r="H123" s="28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spans="1:25" ht="18" customHeight="1" x14ac:dyDescent="0.25">
      <c r="A124" s="62" t="s">
        <v>99</v>
      </c>
      <c r="B124" s="63" t="s">
        <v>0</v>
      </c>
      <c r="C124" s="57">
        <v>15</v>
      </c>
      <c r="D124" s="32"/>
      <c r="E124" s="32"/>
      <c r="F124" s="21"/>
      <c r="G124" s="21">
        <f>K44</f>
        <v>7</v>
      </c>
      <c r="H124" s="28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spans="1:25" ht="18" customHeight="1" x14ac:dyDescent="0.25">
      <c r="A125" s="62" t="s">
        <v>100</v>
      </c>
      <c r="B125" s="63" t="s">
        <v>0</v>
      </c>
      <c r="C125" s="57">
        <v>4</v>
      </c>
      <c r="D125" s="32"/>
      <c r="E125" s="32"/>
      <c r="F125" s="21"/>
      <c r="G125" s="21">
        <f>K45</f>
        <v>2</v>
      </c>
      <c r="H125" s="28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spans="1:25" ht="18" customHeight="1" x14ac:dyDescent="0.25">
      <c r="A126" s="62" t="s">
        <v>57</v>
      </c>
      <c r="B126" s="63" t="s">
        <v>0</v>
      </c>
      <c r="C126" s="57">
        <v>1</v>
      </c>
      <c r="D126" s="32"/>
      <c r="E126" s="32"/>
      <c r="F126" s="21"/>
      <c r="G126" s="21">
        <f>K34</f>
        <v>1</v>
      </c>
      <c r="H126" s="28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spans="1:25" ht="18" customHeight="1" x14ac:dyDescent="0.25">
      <c r="A127" s="62" t="s">
        <v>104</v>
      </c>
      <c r="B127" s="63" t="s">
        <v>0</v>
      </c>
      <c r="C127" s="57">
        <v>1</v>
      </c>
      <c r="D127" s="32"/>
      <c r="E127" s="32"/>
      <c r="F127" s="21"/>
      <c r="G127" s="21">
        <f>K35</f>
        <v>1</v>
      </c>
      <c r="H127" s="28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spans="1:25" ht="27.6" x14ac:dyDescent="0.25">
      <c r="A128" s="75" t="s">
        <v>6</v>
      </c>
      <c r="B128" s="76" t="s">
        <v>0</v>
      </c>
      <c r="C128" s="73">
        <v>0</v>
      </c>
      <c r="D128" s="74"/>
      <c r="E128" s="74"/>
      <c r="F128" s="21"/>
      <c r="G128" s="21">
        <f>+C122+C123*2+C124+C125*2+C126+7</f>
        <v>39</v>
      </c>
      <c r="H128" s="28" t="s">
        <v>224</v>
      </c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spans="1:25" ht="18" customHeight="1" x14ac:dyDescent="0.25">
      <c r="A129" s="75" t="s">
        <v>5</v>
      </c>
      <c r="B129" s="76" t="s">
        <v>40</v>
      </c>
      <c r="C129" s="73">
        <v>0</v>
      </c>
      <c r="D129" s="74"/>
      <c r="E129" s="77"/>
      <c r="F129" s="21"/>
      <c r="G129" s="21" t="e">
        <f>#REF!+K30+#REF!+K31+K32+#REF!+2</f>
        <v>#REF!</v>
      </c>
      <c r="H129" s="28" t="s">
        <v>215</v>
      </c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spans="1:25" ht="18" customHeight="1" x14ac:dyDescent="0.25">
      <c r="A130" s="62" t="s">
        <v>4</v>
      </c>
      <c r="B130" s="63" t="s">
        <v>111</v>
      </c>
      <c r="C130" s="57">
        <v>1</v>
      </c>
      <c r="D130" s="32"/>
      <c r="E130" s="59"/>
      <c r="F130" s="21"/>
      <c r="G130" s="21">
        <f>K14</f>
        <v>1</v>
      </c>
      <c r="H130" s="13" t="s">
        <v>216</v>
      </c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spans="1:25" ht="27.6" x14ac:dyDescent="0.25">
      <c r="A131" s="62" t="s">
        <v>2</v>
      </c>
      <c r="B131" s="63" t="s">
        <v>1</v>
      </c>
      <c r="C131" s="57">
        <v>4</v>
      </c>
      <c r="D131" s="32"/>
      <c r="E131" s="60"/>
      <c r="F131" s="21"/>
      <c r="G131" s="21">
        <f>B6*0.06</f>
        <v>3.5999999999999996</v>
      </c>
      <c r="H131" s="13" t="s">
        <v>218</v>
      </c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spans="1:25" ht="13.8" x14ac:dyDescent="0.25">
      <c r="A132" s="75" t="s">
        <v>277</v>
      </c>
      <c r="B132" s="76" t="s">
        <v>1</v>
      </c>
      <c r="C132" s="73">
        <v>2</v>
      </c>
      <c r="D132" s="74"/>
      <c r="E132" s="78"/>
      <c r="F132" s="21"/>
      <c r="G132" s="21">
        <f>K14</f>
        <v>1</v>
      </c>
      <c r="H132" s="13" t="s">
        <v>217</v>
      </c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spans="1:25" ht="18" customHeight="1" x14ac:dyDescent="0.25">
      <c r="A133" s="7" t="s">
        <v>34</v>
      </c>
      <c r="B133" s="6" t="s">
        <v>31</v>
      </c>
      <c r="C133" s="6" t="s">
        <v>0</v>
      </c>
      <c r="D133" s="6"/>
      <c r="E133" s="6"/>
      <c r="F133" s="21"/>
      <c r="G133" s="21"/>
      <c r="H133" s="22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spans="1:25" ht="18" customHeight="1" x14ac:dyDescent="0.25">
      <c r="A134" s="53" t="s">
        <v>267</v>
      </c>
      <c r="B134" s="89" t="s">
        <v>248</v>
      </c>
      <c r="C134" s="89"/>
      <c r="D134" s="89"/>
      <c r="E134" s="89"/>
      <c r="F134" s="21"/>
      <c r="G134" s="21">
        <f>1*6</f>
        <v>6</v>
      </c>
      <c r="H134" s="13" t="s">
        <v>219</v>
      </c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spans="1:25" ht="18" customHeight="1" x14ac:dyDescent="0.25">
      <c r="A135" s="53" t="s">
        <v>268</v>
      </c>
      <c r="B135" s="89" t="s">
        <v>248</v>
      </c>
      <c r="C135" s="89"/>
      <c r="D135" s="89"/>
      <c r="E135" s="89"/>
      <c r="F135" s="21"/>
      <c r="G135" s="21">
        <f>1*$K$30</f>
        <v>1</v>
      </c>
      <c r="H135" s="27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spans="1:25" ht="27.6" x14ac:dyDescent="0.25">
      <c r="A136" s="53" t="s">
        <v>271</v>
      </c>
      <c r="B136" s="89" t="s">
        <v>248</v>
      </c>
      <c r="C136" s="89"/>
      <c r="D136" s="89"/>
      <c r="E136" s="89"/>
      <c r="F136" s="21"/>
      <c r="G136" s="21">
        <f>1*$K$30</f>
        <v>1</v>
      </c>
      <c r="H136" s="27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spans="1:25" ht="18" customHeight="1" x14ac:dyDescent="0.25">
      <c r="A137" s="7" t="s">
        <v>21</v>
      </c>
      <c r="B137" s="6" t="s">
        <v>31</v>
      </c>
      <c r="C137" s="6" t="s">
        <v>0</v>
      </c>
      <c r="D137" s="6"/>
      <c r="E137" s="6"/>
      <c r="F137" s="21"/>
      <c r="G137" s="21"/>
      <c r="H137" s="22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spans="1:25" s="10" customFormat="1" ht="27.6" x14ac:dyDescent="0.25">
      <c r="A138" s="53" t="s">
        <v>21</v>
      </c>
      <c r="B138" s="89" t="s">
        <v>248</v>
      </c>
      <c r="C138" s="89"/>
      <c r="D138" s="89"/>
      <c r="E138" s="89"/>
      <c r="F138" s="21"/>
      <c r="G138" s="26">
        <f>B6*(2/100)</f>
        <v>1.2</v>
      </c>
      <c r="H138" s="27" t="s">
        <v>173</v>
      </c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</row>
    <row r="139" spans="1:25" s="10" customFormat="1" ht="41.4" x14ac:dyDescent="0.25">
      <c r="A139" s="53" t="s">
        <v>270</v>
      </c>
      <c r="B139" s="89" t="s">
        <v>248</v>
      </c>
      <c r="C139" s="89"/>
      <c r="D139" s="89"/>
      <c r="E139" s="89"/>
      <c r="F139" s="21"/>
      <c r="G139" s="26" t="e">
        <f>C93+#REF!+#REF!</f>
        <v>#REF!</v>
      </c>
      <c r="H139" s="27" t="s">
        <v>226</v>
      </c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s="10" customFormat="1" ht="41.4" x14ac:dyDescent="0.25">
      <c r="A140" s="75" t="s">
        <v>269</v>
      </c>
      <c r="B140" s="76" t="s">
        <v>1</v>
      </c>
      <c r="C140" s="73">
        <v>1</v>
      </c>
      <c r="D140" s="78"/>
      <c r="E140" s="79"/>
      <c r="F140" s="21"/>
      <c r="G140" s="26">
        <f>B6*0.04</f>
        <v>2.4</v>
      </c>
      <c r="H140" s="27" t="s">
        <v>174</v>
      </c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s="10" customFormat="1" ht="13.8" x14ac:dyDescent="0.25">
      <c r="A141" s="75" t="s">
        <v>3</v>
      </c>
      <c r="B141" s="76" t="s">
        <v>1</v>
      </c>
      <c r="C141" s="73">
        <v>0</v>
      </c>
      <c r="D141" s="78"/>
      <c r="E141" s="79"/>
      <c r="F141" s="21"/>
      <c r="G141" s="26">
        <v>2</v>
      </c>
      <c r="H141" s="27" t="s">
        <v>112</v>
      </c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</row>
  </sheetData>
  <mergeCells count="15">
    <mergeCell ref="B139:E139"/>
    <mergeCell ref="B138:E138"/>
    <mergeCell ref="A7:A8"/>
    <mergeCell ref="B5:E5"/>
    <mergeCell ref="B90:E90"/>
    <mergeCell ref="B93:E93"/>
    <mergeCell ref="B134:E134"/>
    <mergeCell ref="B135:E135"/>
    <mergeCell ref="B95:E95"/>
    <mergeCell ref="B136:E136"/>
    <mergeCell ref="A1:E1"/>
    <mergeCell ref="B2:E2"/>
    <mergeCell ref="B3:E3"/>
    <mergeCell ref="B4:E4"/>
    <mergeCell ref="D6:E6"/>
  </mergeCells>
  <phoneticPr fontId="7" type="noConversion"/>
  <conditionalFormatting sqref="E38:F38">
    <cfRule type="cellIs" priority="7" operator="greaterThan">
      <formula>0</formula>
    </cfRule>
    <cfRule type="cellIs" dxfId="0" priority="8" operator="greaterThan">
      <formula>0</formula>
    </cfRule>
  </conditionalFormatting>
  <pageMargins left="0.70866141732283472" right="0.70866141732283472" top="1.0513392857142858" bottom="1.3385826771653544" header="0.31496062992125984" footer="0.31496062992125984"/>
  <pageSetup paperSize="9" scale="60" fitToHeight="0" orientation="portrait" r:id="rId1"/>
  <headerFooter>
    <oddHeader>&amp;L&amp;G&amp;C&amp;"Arial,Kalın"&amp;20PREFABRİK BİNA 
YÜKLEME LİSTESİ 
FORMU&amp;R&amp;G</oddHeader>
    <oddFooter>&amp;R&amp;G</oddFooter>
  </headerFooter>
  <rowBreaks count="2" manualBreakCount="2">
    <brk id="58" max="4" man="1"/>
    <brk id="112" max="4" man="1"/>
  </row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1 KATLI</vt:lpstr>
      <vt:lpstr>'1 KATLI'!Yazdırma_Alanı</vt:lpstr>
    </vt:vector>
  </TitlesOfParts>
  <Company>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user</cp:lastModifiedBy>
  <cp:lastPrinted>2026-10-01T10:29:22Z</cp:lastPrinted>
  <dcterms:created xsi:type="dcterms:W3CDTF">2000-04-29T05:09:31Z</dcterms:created>
  <dcterms:modified xsi:type="dcterms:W3CDTF">2026-10-02T07:12:18Z</dcterms:modified>
</cp:coreProperties>
</file>
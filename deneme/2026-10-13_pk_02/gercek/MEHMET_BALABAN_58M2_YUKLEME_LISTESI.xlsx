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ecae12e264f5e5/TEKNİK OFİS/1- MEVCUT ÇALIŞMALAR/2-PREFABRİK/PREFABRİK - MEHMET BALABAN - 58 M2/Malzeme Listesi/"/>
    </mc:Choice>
  </mc:AlternateContent>
  <xr:revisionPtr revIDLastSave="812" documentId="8_{D8D1AB0B-934F-404D-9730-4129320003C9}" xr6:coauthVersionLast="47" xr6:coauthVersionMax="47" xr10:uidLastSave="{45F12D83-E9B6-4202-AB67-CEF7A0341EC5}"/>
  <bookViews>
    <workbookView xWindow="-120" yWindow="-120" windowWidth="29040" windowHeight="15720" tabRatio="929" xr2:uid="{00000000-000D-0000-FFFF-FFFF00000000}"/>
  </bookViews>
  <sheets>
    <sheet name="PREFABRİK" sheetId="29" r:id="rId1"/>
    <sheet name="BÜŞRA NUR" sheetId="34" r:id="rId2"/>
    <sheet name="BOYA HESABI" sheetId="30" r:id="rId3"/>
  </sheets>
  <definedNames>
    <definedName name="_xlnm._FilterDatabase" localSheetId="0" hidden="1">PREFABRİK!$A$10:$C$11</definedName>
    <definedName name="_xlnm.Print_Area" localSheetId="0">PREFABRİK!$A$1:$F$147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0" l="1"/>
  <c r="I5" i="30"/>
  <c r="I3" i="30"/>
  <c r="V13" i="30"/>
  <c r="Q13" i="30"/>
  <c r="W19" i="30" l="1"/>
  <c r="X19" i="30" s="1"/>
  <c r="V10" i="30"/>
  <c r="Q10" i="30"/>
  <c r="W18" i="30" s="1"/>
  <c r="X18" i="30" s="1"/>
  <c r="D31" i="30"/>
  <c r="D30" i="30"/>
  <c r="K30" i="30"/>
  <c r="K31" i="30"/>
  <c r="F23" i="34" l="1"/>
  <c r="G21" i="34"/>
  <c r="G20" i="34"/>
  <c r="G23" i="34" s="1"/>
  <c r="P15" i="34"/>
  <c r="F15" i="34"/>
  <c r="G11" i="34"/>
  <c r="G10" i="34"/>
  <c r="G9" i="34"/>
  <c r="G8" i="34"/>
  <c r="G7" i="34"/>
  <c r="R15" i="34" l="1"/>
  <c r="O28" i="34"/>
  <c r="M28" i="34"/>
  <c r="K15" i="34"/>
  <c r="M15" i="34"/>
  <c r="D29" i="30" l="1"/>
  <c r="D27" i="30"/>
  <c r="K16" i="30"/>
  <c r="D16" i="30"/>
  <c r="K36" i="30"/>
  <c r="J6" i="30"/>
  <c r="J5" i="30"/>
  <c r="J4" i="30"/>
  <c r="J3" i="30"/>
  <c r="D33" i="30"/>
  <c r="D34" i="30"/>
  <c r="C5" i="30"/>
  <c r="D5" i="30" s="1"/>
  <c r="K34" i="30"/>
  <c r="I6" i="30"/>
  <c r="I7" i="30" s="1"/>
  <c r="W22" i="30" s="1"/>
  <c r="X22" i="30" s="1"/>
  <c r="C3" i="30"/>
  <c r="D3" i="30" s="1"/>
  <c r="K12" i="30"/>
  <c r="D12" i="30"/>
  <c r="K11" i="30"/>
  <c r="D11" i="30"/>
  <c r="D36" i="30"/>
  <c r="K35" i="30"/>
  <c r="D35" i="30"/>
  <c r="D32" i="30"/>
  <c r="K29" i="30"/>
  <c r="K28" i="30"/>
  <c r="D28" i="30"/>
  <c r="K27" i="30"/>
  <c r="K26" i="30"/>
  <c r="D26" i="30"/>
  <c r="K25" i="30"/>
  <c r="D25" i="30"/>
  <c r="K24" i="30"/>
  <c r="D24" i="30"/>
  <c r="K23" i="30"/>
  <c r="D23" i="30"/>
  <c r="K22" i="30"/>
  <c r="D22" i="30"/>
  <c r="D4" i="30"/>
  <c r="D13" i="30" l="1"/>
  <c r="K32" i="30"/>
  <c r="K5" i="30"/>
  <c r="D37" i="30"/>
  <c r="D6" i="30"/>
  <c r="K4" i="30"/>
  <c r="K3" i="30"/>
  <c r="K37" i="30"/>
  <c r="K13" i="30"/>
  <c r="K6" i="30"/>
  <c r="N18" i="30" l="1"/>
  <c r="O18" i="30" s="1"/>
  <c r="S18" i="30"/>
  <c r="T18" i="30" s="1"/>
  <c r="S24" i="30" s="1"/>
  <c r="K7" i="30"/>
  <c r="S20" i="30" s="1"/>
  <c r="S19" i="30"/>
  <c r="T19" i="30" s="1"/>
  <c r="K38" i="30"/>
  <c r="S26" i="30" l="1"/>
  <c r="T26" i="30" s="1"/>
  <c r="N28" i="30"/>
  <c r="O28" i="30" s="1"/>
  <c r="N26" i="30"/>
  <c r="O26" i="30" s="1"/>
  <c r="N24" i="30"/>
  <c r="O24" i="30" s="1"/>
  <c r="T20" i="30"/>
  <c r="T24" i="30"/>
  <c r="H140" i="29"/>
  <c r="H144" i="29"/>
  <c r="H142" i="29"/>
  <c r="H137" i="29"/>
  <c r="H136" i="29"/>
  <c r="H135" i="29"/>
  <c r="H120" i="29"/>
  <c r="H116" i="29"/>
  <c r="H115" i="29"/>
  <c r="H114" i="29"/>
  <c r="H113" i="29"/>
  <c r="H106" i="29"/>
  <c r="H98" i="29"/>
  <c r="H92" i="29"/>
  <c r="H91" i="29"/>
  <c r="H89" i="29"/>
  <c r="H88" i="29"/>
  <c r="H87" i="29"/>
  <c r="H85" i="29"/>
  <c r="H84" i="29"/>
  <c r="H83" i="29"/>
  <c r="H82" i="29"/>
  <c r="H81" i="29"/>
  <c r="H75" i="29"/>
  <c r="H35" i="29"/>
  <c r="H34" i="29"/>
  <c r="H33" i="29"/>
  <c r="S28" i="30" l="1"/>
  <c r="T28" i="30" s="1"/>
  <c r="H147" i="29"/>
  <c r="G15" i="34"/>
</calcChain>
</file>

<file path=xl/sharedStrings.xml><?xml version="1.0" encoding="utf-8"?>
<sst xmlns="http://schemas.openxmlformats.org/spreadsheetml/2006/main" count="488" uniqueCount="256">
  <si>
    <t>ADET</t>
  </si>
  <si>
    <t>Adet</t>
  </si>
  <si>
    <t>2 x 1.5</t>
  </si>
  <si>
    <t>İZOLE BANT</t>
  </si>
  <si>
    <t>PREFABRİK PENCERELER ( 4.8 x 70 )</t>
  </si>
  <si>
    <t>3 x 2.5</t>
  </si>
  <si>
    <t xml:space="preserve"> AMPUL</t>
  </si>
  <si>
    <t>Poliüretan Köpük</t>
  </si>
  <si>
    <t xml:space="preserve"> YUVARLAK GLOP </t>
  </si>
  <si>
    <t xml:space="preserve">SİGORTA KUTUSU </t>
  </si>
  <si>
    <t>W OTOMAT (SİGORTA)</t>
  </si>
  <si>
    <t>L:2800</t>
  </si>
  <si>
    <t>KG</t>
  </si>
  <si>
    <t>1200*2500</t>
  </si>
  <si>
    <t>UYDU KABLO</t>
  </si>
  <si>
    <t>METRE</t>
  </si>
  <si>
    <t>ALÇIPAN VİDASI  ( 3.5 x 35 )</t>
  </si>
  <si>
    <t>RYSB PUL BAŞLI  ( 3.9 x 32 )</t>
  </si>
  <si>
    <t>8 LİK TRAPEZ UÇ</t>
  </si>
  <si>
    <t>PH2 UÇ</t>
  </si>
  <si>
    <t>230 LUK KESME TAŞI</t>
  </si>
  <si>
    <t>TİJLİ DUY</t>
  </si>
  <si>
    <t>KAPI VE PENCERE GRUBU</t>
  </si>
  <si>
    <t>ELEKTRİK GRUBU</t>
  </si>
  <si>
    <t>VİDA GRUBU</t>
  </si>
  <si>
    <t>METAL DERE İNİŞİ APARATI</t>
  </si>
  <si>
    <t>DERE KAPAĞI</t>
  </si>
  <si>
    <t>BOYA GRUBU</t>
  </si>
  <si>
    <t>ÇATI ŞİLTESİ 80mm</t>
  </si>
  <si>
    <t>9,6 M2/ADET</t>
  </si>
  <si>
    <t>DERE KELEPÇESİ</t>
  </si>
  <si>
    <t>MÜŞTERİ AD SOYAD</t>
  </si>
  <si>
    <t>SEVKİYAT YERİ</t>
  </si>
  <si>
    <t>HAZIRLANMA BİLGİLERİ</t>
  </si>
  <si>
    <t>HAZIRLAYAN</t>
  </si>
  <si>
    <t>TARİH</t>
  </si>
  <si>
    <t>KONTROL</t>
  </si>
  <si>
    <t>İLETİŞİM NUMARASI</t>
  </si>
  <si>
    <t>BOYUT</t>
  </si>
  <si>
    <t>MAKİNE</t>
  </si>
  <si>
    <t>METAL AKSAM GRUBU</t>
  </si>
  <si>
    <t>DIŞ CEPHE KAPLAMA GRUBU</t>
  </si>
  <si>
    <t>İÇ CEPHE KAPLAMA GRUBU</t>
  </si>
  <si>
    <t>ÇATI KAPLAMALARI GRUBU</t>
  </si>
  <si>
    <t>NET ALAN</t>
  </si>
  <si>
    <t>BRÜT ALAN</t>
  </si>
  <si>
    <t>DERE GRUBU</t>
  </si>
  <si>
    <t>BİNA M2 / KAT ADEDİ / KAT YÜKSEKLİĞİ</t>
  </si>
  <si>
    <t xml:space="preserve">BOYUT </t>
  </si>
  <si>
    <t>LOFTEV YÜKLEME LİSTESİ</t>
  </si>
  <si>
    <t>L:3750</t>
  </si>
  <si>
    <t>BİRİM FİYAT</t>
  </si>
  <si>
    <t>L:2500</t>
  </si>
  <si>
    <t>TOPLAM</t>
  </si>
  <si>
    <t xml:space="preserve">GENEL TOPLAM </t>
  </si>
  <si>
    <t>UZUNLUK</t>
  </si>
  <si>
    <t>16  Amper</t>
  </si>
  <si>
    <t>100*2500</t>
  </si>
  <si>
    <t>SATIŞ TEMSİLCİSİ</t>
  </si>
  <si>
    <t>KÖŞEBENT</t>
  </si>
  <si>
    <t>60'LIK DUVAR OMEGASI</t>
  </si>
  <si>
    <t>60*3750</t>
  </si>
  <si>
    <t>100'LÜK SAÇAK OMEGASI</t>
  </si>
  <si>
    <t>1250*2500</t>
  </si>
  <si>
    <t>TEK</t>
  </si>
  <si>
    <t xml:space="preserve"> ÜRETİM PERSONELİ YÜKLEME </t>
  </si>
  <si>
    <t>AÇIK DİRSEK</t>
  </si>
  <si>
    <t>KAPALI  DİRSEK</t>
  </si>
  <si>
    <t>SORUMLI ÜRETİM PERSONELİ AD SOYAD</t>
  </si>
  <si>
    <t xml:space="preserve">  İMZA </t>
  </si>
  <si>
    <t>DEPO GRUBU</t>
  </si>
  <si>
    <t xml:space="preserve"> ÜRETİM PERSONELİ YÜKLEME KONTROL</t>
  </si>
  <si>
    <t>AHMET BALABAN</t>
  </si>
  <si>
    <t>MEHMET BALABAN</t>
  </si>
  <si>
    <t xml:space="preserve">AHMET BALABAN </t>
  </si>
  <si>
    <t>GENEL KONTROL ONAY VEREN</t>
  </si>
  <si>
    <t>SEDAT BALABAN</t>
  </si>
  <si>
    <t>İMZA</t>
  </si>
  <si>
    <t>İÇ CEPHE KAPLAMALARI GRUBU</t>
  </si>
  <si>
    <t>ALAN</t>
  </si>
  <si>
    <t>BOY</t>
  </si>
  <si>
    <t>İÇ CEPHE DUVAR</t>
  </si>
  <si>
    <t>BRÜT</t>
  </si>
  <si>
    <t>NET</t>
  </si>
  <si>
    <t>MAKAS GRUBU</t>
  </si>
  <si>
    <t>120/100</t>
  </si>
  <si>
    <t>L: 2800</t>
  </si>
  <si>
    <t>UYDU  PRİZİ ( TAKIM )</t>
  </si>
  <si>
    <t>TEKLİ ANAHTAR ( TAKIM )</t>
  </si>
  <si>
    <t>NYM KABLO (3 x 2.5)</t>
  </si>
  <si>
    <t>NYM KABLO (2 x 1.5)</t>
  </si>
  <si>
    <t>ÇİFTLİ ANAHTAR ( TAKIM )</t>
  </si>
  <si>
    <r>
      <t xml:space="preserve">( 5.5 x 60 ) TRAPEZ VİDA </t>
    </r>
    <r>
      <rPr>
        <b/>
        <sz val="8"/>
        <rFont val="Arial"/>
        <family val="2"/>
        <charset val="162"/>
      </rPr>
      <t>(TRAPEZ SAC / METAL KİREMİT)</t>
    </r>
  </si>
  <si>
    <r>
      <t xml:space="preserve">( 5.5x 110) TRAPEZ VİDA </t>
    </r>
    <r>
      <rPr>
        <b/>
        <sz val="8"/>
        <rFont val="Arial"/>
        <family val="2"/>
        <charset val="162"/>
      </rPr>
      <t>( SANDVİÇ PANEL)</t>
    </r>
  </si>
  <si>
    <t>YAPIŞTIRMA VE KARKASLI PANEL GRUBU</t>
  </si>
  <si>
    <t>100'LÜK YAPIŞTIRMA DOLU PANO</t>
  </si>
  <si>
    <t>100x1250x2500</t>
  </si>
  <si>
    <t>100'LÜK YAPIŞTIRMA DOLU VASİSTASLI PANO (60/40)</t>
  </si>
  <si>
    <t>60'LIK YAPIŞTIRMA DOLU PANO</t>
  </si>
  <si>
    <t>60x1250x2500</t>
  </si>
  <si>
    <t>PENCERE ÜST PANEL</t>
  </si>
  <si>
    <t>100x1250x500</t>
  </si>
  <si>
    <t>PENCERE ALT PANEL (120/120)</t>
  </si>
  <si>
    <t>100x1250x800</t>
  </si>
  <si>
    <t>PENCERE ALT PANEL (120/180)</t>
  </si>
  <si>
    <t>100x1250x200</t>
  </si>
  <si>
    <t>EYÜP DERİN</t>
  </si>
  <si>
    <t>KÖŞE DİREĞİ</t>
  </si>
  <si>
    <t>100x100x2500</t>
  </si>
  <si>
    <t>100*100*2500</t>
  </si>
  <si>
    <t>H ( DÜBELLİ&amp;KULAKLI)</t>
  </si>
  <si>
    <t>H ( DÜBELLİ )</t>
  </si>
  <si>
    <t>H (  STANDART )</t>
  </si>
  <si>
    <t>60*60*2500</t>
  </si>
  <si>
    <t xml:space="preserve"> 3 LÜ H ( DÜBELLİ VE KULAKLI)</t>
  </si>
  <si>
    <t>100*100*60*2500</t>
  </si>
  <si>
    <t xml:space="preserve"> 3 LÜ H ( DÜBELLİ )</t>
  </si>
  <si>
    <t>3 LÜ H (  STANDART )</t>
  </si>
  <si>
    <t>ÇEKTİRME U'SU (60 LIK)</t>
  </si>
  <si>
    <t>60*2440</t>
  </si>
  <si>
    <t>ÇEKTİRME U'SU (100 LÜK)</t>
  </si>
  <si>
    <t>100*2440</t>
  </si>
  <si>
    <t>100'LÜK PENCERE U SU H GEÇEN</t>
  </si>
  <si>
    <t>BAŞ MAKAS OMEGASI</t>
  </si>
  <si>
    <t>BAŞ MAKAS Z'Sİ</t>
  </si>
  <si>
    <t>BAŞ MAKAS MENFEZİ</t>
  </si>
  <si>
    <t>BAŞ MAKAS BETOPANI</t>
  </si>
  <si>
    <t>100'LÜK ALT ÇERÇEVE</t>
  </si>
  <si>
    <t>100*3750</t>
  </si>
  <si>
    <t>60'LIK ALT ÇERÇEVE</t>
  </si>
  <si>
    <t>AŞIK</t>
  </si>
  <si>
    <t>60X3000</t>
  </si>
  <si>
    <t xml:space="preserve">ÇELİK DÜBEL </t>
  </si>
  <si>
    <t>KARKASLI ÇELİK KAPI PANOSU</t>
  </si>
  <si>
    <t xml:space="preserve">60'LIK KARKASLI +KASALI  PANOLAR                </t>
  </si>
  <si>
    <t>90*200</t>
  </si>
  <si>
    <t>82*196</t>
  </si>
  <si>
    <t>120*120</t>
  </si>
  <si>
    <t>120*180</t>
  </si>
  <si>
    <t>60*40</t>
  </si>
  <si>
    <t>OMEGA KAPAK</t>
  </si>
  <si>
    <t>TAVAN H' I</t>
  </si>
  <si>
    <t>PVC PLASTİK BETOPAN H' I</t>
  </si>
  <si>
    <t>16 MM BETOPAN VE KAPI KOLLARI ( 3.9 x 32)</t>
  </si>
  <si>
    <t>TEKLİ PRİZ ( TAKIM )</t>
  </si>
  <si>
    <t>ÇİFTLİ PRİZ (TAKIM)</t>
  </si>
  <si>
    <t>DIŞ CEPHE</t>
  </si>
  <si>
    <t>İÇ CEPHE</t>
  </si>
  <si>
    <t>KAT YÜKSEKLİĞİ</t>
  </si>
  <si>
    <t>ZEMİN KAT</t>
  </si>
  <si>
    <t>DÖŞEME</t>
  </si>
  <si>
    <t>1. KAT</t>
  </si>
  <si>
    <t>BRÜT ALAN:</t>
  </si>
  <si>
    <t>PENCERE/KAPI BOŞLUKLARI</t>
  </si>
  <si>
    <t>EN</t>
  </si>
  <si>
    <t>YÜZEY</t>
  </si>
  <si>
    <t>TOPLAM:</t>
  </si>
  <si>
    <t>YÜKSEKLİĞİ</t>
  </si>
  <si>
    <t>ALIN ALANI 1</t>
  </si>
  <si>
    <t>ALIN ALANI 2</t>
  </si>
  <si>
    <t>ALIN ALANI 3</t>
  </si>
  <si>
    <t>ZEMİN KAT (BEYAZ)</t>
  </si>
  <si>
    <t>ZEMİN KAT (YEŞİL)</t>
  </si>
  <si>
    <t>1. KAT (BEYAZ)</t>
  </si>
  <si>
    <t>1. KAT (YEŞİL)</t>
  </si>
  <si>
    <t>KAT</t>
  </si>
  <si>
    <t>ZEMİN</t>
  </si>
  <si>
    <t>ODA TİPİ</t>
  </si>
  <si>
    <t>YEŞİL</t>
  </si>
  <si>
    <t>BEYAZ</t>
  </si>
  <si>
    <t>1.Kat Yüksekliği</t>
  </si>
  <si>
    <t xml:space="preserve">BRÜT </t>
  </si>
  <si>
    <t>Duvar Alçıpan (Beyaz)</t>
  </si>
  <si>
    <t>Duvar Alçıpan (Yeşil)</t>
  </si>
  <si>
    <t>Zemin Kat Yüksekliği</t>
  </si>
  <si>
    <t>TOPLAM BOŞLUK:</t>
  </si>
  <si>
    <t>TOPLAM BEYAZ ALAN BOŞLUĞU</t>
  </si>
  <si>
    <t>TOPLAM YEŞİL ALAN BOŞLUĞU</t>
  </si>
  <si>
    <t>ÇEVRE UZ.</t>
  </si>
  <si>
    <t>DIŞ CEPHE KOLON/KİRİŞ</t>
  </si>
  <si>
    <t>İÇ CEPHE KOLON/KİRİŞ</t>
  </si>
  <si>
    <t>YEŞİL ALAN PENCERE/KAPI BOŞLUKLARI</t>
  </si>
  <si>
    <t>BEYAZ ALAN PENCERE/KAPI BOŞLUKLARI</t>
  </si>
  <si>
    <t>Duvar OSB</t>
  </si>
  <si>
    <t>TOPLAM EK ALAN:</t>
  </si>
  <si>
    <t>Dış Cephe Boardex</t>
  </si>
  <si>
    <t>TOPLAM ALIN:</t>
  </si>
  <si>
    <t>Dekoratif Sıva</t>
  </si>
  <si>
    <t>Dış Cephe Betopan</t>
  </si>
  <si>
    <t>KAÇAK AKIM RÖLESİ</t>
  </si>
  <si>
    <t>İNOX TAŞ</t>
  </si>
  <si>
    <t>ÇIRPI İPİ</t>
  </si>
  <si>
    <r>
      <t xml:space="preserve">( 5.5 x 25 ) TRAPEZ VİDA </t>
    </r>
    <r>
      <rPr>
        <b/>
        <sz val="8"/>
        <rFont val="Arial"/>
        <family val="2"/>
        <charset val="162"/>
      </rPr>
      <t>(AŞIK+OMEGA+KÖŞEBENT)</t>
    </r>
  </si>
  <si>
    <r>
      <t xml:space="preserve">BESLEME KABLOSU </t>
    </r>
    <r>
      <rPr>
        <b/>
        <sz val="8"/>
        <color theme="1"/>
        <rFont val="Arial"/>
        <family val="2"/>
        <charset val="162"/>
      </rPr>
      <t>( SİGORTA KUTULARI ARASI )</t>
    </r>
  </si>
  <si>
    <t>ZİL</t>
  </si>
  <si>
    <t>PENCERELER</t>
  </si>
  <si>
    <t>120/120</t>
  </si>
  <si>
    <t>KAPI</t>
  </si>
  <si>
    <t>L: 2500</t>
  </si>
  <si>
    <t>BESLEME KABLO BORUSU</t>
  </si>
  <si>
    <t>60*2500</t>
  </si>
  <si>
    <t>300*2500</t>
  </si>
  <si>
    <t>DIŞ KAPI</t>
  </si>
  <si>
    <t>İÇ KAPI</t>
  </si>
  <si>
    <t>DUVAR ALÇIPAN HESABI</t>
  </si>
  <si>
    <t>ÇEVRE</t>
  </si>
  <si>
    <t>H</t>
  </si>
  <si>
    <t>MİNHA</t>
  </si>
  <si>
    <t>60/60</t>
  </si>
  <si>
    <t>200/220</t>
  </si>
  <si>
    <t>200/150</t>
  </si>
  <si>
    <t>BETOPAN</t>
  </si>
  <si>
    <t>%8 ZAİYAT</t>
  </si>
  <si>
    <t>%5 ZAİYAT</t>
  </si>
  <si>
    <t>PVC İNİŞ KELEPÇESİ</t>
  </si>
  <si>
    <t>VERANDA</t>
  </si>
  <si>
    <t>BALKON</t>
  </si>
  <si>
    <t xml:space="preserve">TOPLAM ÇEVRE </t>
  </si>
  <si>
    <t>TAVAN ALÇIPAN</t>
  </si>
  <si>
    <t>TOPLAM UZ.</t>
  </si>
  <si>
    <t>AMERİKAN  KAPI ( 80 LİK KANAT ) (SOL)</t>
  </si>
  <si>
    <t>AMERİKAN  KAPI ( 80 LİK KANAT ) (SAĞ)</t>
  </si>
  <si>
    <t>SİLİVRİ</t>
  </si>
  <si>
    <t>LOKMAN SAYIM</t>
  </si>
  <si>
    <t>BÜŞRA NUR GÜRGÜN</t>
  </si>
  <si>
    <t>100x820x2500</t>
  </si>
  <si>
    <t>60x1220x2500</t>
  </si>
  <si>
    <t>( ANTRASİT ) SAÇAK SACI (30'LUK)</t>
  </si>
  <si>
    <t>( ANTRASİT ) ALIN SACI (30'LUK)</t>
  </si>
  <si>
    <t xml:space="preserve">MAKAS </t>
  </si>
  <si>
    <t>L: 8050</t>
  </si>
  <si>
    <t>300 KG</t>
  </si>
  <si>
    <t>(ANTRASİT) SANDVİÇ PANEL (4CM) ( 100 CM KAPATIR )</t>
  </si>
  <si>
    <t>(ANTRASİT) METAL KİREMİT MAHYASI</t>
  </si>
  <si>
    <t>(ANTRASİT)SANDVİÇ PANEL KAPAMASI</t>
  </si>
  <si>
    <t>L: 4300</t>
  </si>
  <si>
    <t>( ASMA  )TAVAN BEYAZ ALÇIPAN</t>
  </si>
  <si>
    <t>( ASMA ) TAVAN YEŞİL ALÇIPAN</t>
  </si>
  <si>
    <t>( ANTRASİT ) METAL DERE</t>
  </si>
  <si>
    <t>ÇELİK KAPI ( SOL )</t>
  </si>
  <si>
    <t>L:8500</t>
  </si>
  <si>
    <t>L:3000</t>
  </si>
  <si>
    <t>METAL DERE ANTRASİT İNİŞ BORUSU</t>
  </si>
  <si>
    <t>100x390x2500</t>
  </si>
  <si>
    <t>60x310x2500</t>
  </si>
  <si>
    <t>L:4200</t>
  </si>
  <si>
    <t>FİYATLANDIRMA İÇİN GİRİLECEK</t>
  </si>
  <si>
    <t>Silikonize Mastik BEYAZ</t>
  </si>
  <si>
    <t>Dayson SİYAH</t>
  </si>
  <si>
    <t>12 Lİ</t>
  </si>
  <si>
    <t>MEHMET BALABAN 58 M2</t>
  </si>
  <si>
    <t>60x575x2500</t>
  </si>
  <si>
    <t>100x625x2500</t>
  </si>
  <si>
    <t>PVC DOĞRAMA+PERVAZ MATİK +BEYAZ+ÇİFT AÇILIM+SİNEKLİK</t>
  </si>
  <si>
    <t>PVC DOĞRAMA+PERVAZ MATİK + BEYAZ+VASİSTAS+SİNEKLİK</t>
  </si>
  <si>
    <t>SADECE DIŞ CEPHE BOYA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</si>
</sst>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[$₺-41F]"/>
    <numFmt numFmtId="165" formatCode="#,##0.00\ &quot;₺&quot;"/>
    <numFmt numFmtId="166" formatCode="00000"/>
    <numFmt numFmtId="167" formatCode="[$₺-41F]#,##0.00"/>
    <numFmt numFmtId="168" formatCode="&quot;₺&quot;#,##0.00"/>
    <numFmt numFmtId="169" formatCode="0.0"/>
  </numFmts>
  <fonts count="22" x14ac:knownFonts="1">
    <font>
      <sz val="10"/>
      <name val="Arial"/>
      <charset val="162"/>
    </font>
    <font>
      <sz val="10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15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2"/>
      <name val="Arial"/>
      <family val="2"/>
      <charset val="162"/>
    </font>
    <font>
      <sz val="10"/>
      <name val="Arial"/>
      <family val="2"/>
      <charset val="162"/>
    </font>
    <font>
      <b/>
      <sz val="15"/>
      <color rgb="FFFF0000"/>
      <name val="Arial"/>
      <family val="2"/>
      <charset val="162"/>
    </font>
    <font>
      <b/>
      <i/>
      <sz val="10"/>
      <color theme="1"/>
      <name val="Arial"/>
      <family val="2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  <charset val="162"/>
    </font>
    <font>
      <b/>
      <sz val="10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8"/>
      <color theme="1"/>
      <name val="Arial"/>
      <family val="2"/>
      <charset val="162"/>
    </font>
    <font>
      <b/>
      <sz val="11"/>
      <name val="Arial"/>
      <family val="2"/>
      <charset val="162"/>
    </font>
    <font>
      <b/>
      <sz val="14"/>
      <name val="Arial"/>
      <family val="2"/>
      <charset val="162"/>
    </font>
    <font>
      <b/>
      <sz val="16"/>
      <name val="Arial"/>
      <family val="2"/>
      <charset val="16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D3CF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8" fillId="0" borderId="0" applyFont="0" applyFill="0" applyBorder="0" applyAlignment="0" applyProtection="0"/>
  </cellStyleXfs>
  <cellXfs count="359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/>
    <xf numFmtId="0" fontId="5" fillId="2" borderId="0" xfId="0" applyFont="1" applyFill="1"/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165" fontId="7" fillId="2" borderId="2" xfId="0" applyNumberFormat="1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5" fillId="3" borderId="0" xfId="0" applyFont="1" applyFill="1"/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4" fontId="2" fillId="2" borderId="16" xfId="0" applyNumberFormat="1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left" vertical="center" wrapText="1"/>
    </xf>
    <xf numFmtId="0" fontId="9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2" fontId="4" fillId="9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4" fontId="4" fillId="7" borderId="0" xfId="0" applyNumberFormat="1" applyFont="1" applyFill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right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164" fontId="2" fillId="0" borderId="1" xfId="0" applyNumberFormat="1" applyFont="1" applyBorder="1" applyAlignment="1">
      <alignment horizontal="center" vertical="center" wrapText="1"/>
    </xf>
    <xf numFmtId="167" fontId="5" fillId="2" borderId="19" xfId="0" applyNumberFormat="1" applyFont="1" applyFill="1" applyBorder="1"/>
    <xf numFmtId="0" fontId="2" fillId="10" borderId="1" xfId="0" applyFont="1" applyFill="1" applyBorder="1" applyAlignment="1">
      <alignment horizontal="center" vertical="center" wrapText="1"/>
    </xf>
    <xf numFmtId="168" fontId="5" fillId="2" borderId="1" xfId="0" applyNumberFormat="1" applyFont="1" applyFill="1" applyBorder="1"/>
    <xf numFmtId="0" fontId="2" fillId="2" borderId="1" xfId="0" applyFont="1" applyFill="1" applyBorder="1" applyAlignment="1">
      <alignment vertical="center" wrapText="1"/>
    </xf>
    <xf numFmtId="168" fontId="5" fillId="3" borderId="1" xfId="0" applyNumberFormat="1" applyFont="1" applyFill="1" applyBorder="1"/>
    <xf numFmtId="165" fontId="2" fillId="2" borderId="1" xfId="0" applyNumberFormat="1" applyFont="1" applyFill="1" applyBorder="1" applyAlignment="1">
      <alignment horizontal="right" vertical="center" wrapText="1"/>
    </xf>
    <xf numFmtId="165" fontId="7" fillId="2" borderId="1" xfId="0" applyNumberFormat="1" applyFont="1" applyFill="1" applyBorder="1" applyAlignment="1">
      <alignment horizontal="right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" fontId="2" fillId="2" borderId="20" xfId="0" applyNumberFormat="1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164" fontId="2" fillId="11" borderId="13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4" fontId="2" fillId="11" borderId="6" xfId="0" applyNumberFormat="1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left" vertical="center" wrapText="1"/>
    </xf>
    <xf numFmtId="14" fontId="4" fillId="7" borderId="7" xfId="0" applyNumberFormat="1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left" vertical="center" shrinkToFit="1"/>
    </xf>
    <xf numFmtId="14" fontId="4" fillId="7" borderId="7" xfId="0" applyNumberFormat="1" applyFont="1" applyFill="1" applyBorder="1" applyAlignment="1">
      <alignment horizontal="left" vertical="center" wrapText="1"/>
    </xf>
    <xf numFmtId="168" fontId="5" fillId="2" borderId="0" xfId="0" applyNumberFormat="1" applyFont="1" applyFill="1"/>
    <xf numFmtId="0" fontId="2" fillId="10" borderId="21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20" xfId="0" applyFont="1" applyFill="1" applyBorder="1" applyAlignment="1">
      <alignment horizontal="center" vertical="center" wrapText="1"/>
    </xf>
    <xf numFmtId="0" fontId="10" fillId="2" borderId="19" xfId="0" applyFont="1" applyFill="1" applyBorder="1"/>
    <xf numFmtId="0" fontId="5" fillId="0" borderId="5" xfId="0" applyFont="1" applyBorder="1"/>
    <xf numFmtId="0" fontId="2" fillId="0" borderId="9" xfId="0" applyFont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16" borderId="6" xfId="0" applyFont="1" applyFill="1" applyBorder="1" applyAlignment="1">
      <alignment horizontal="center" vertical="center" wrapText="1"/>
    </xf>
    <xf numFmtId="164" fontId="2" fillId="9" borderId="6" xfId="0" applyNumberFormat="1" applyFont="1" applyFill="1" applyBorder="1" applyAlignment="1">
      <alignment horizontal="center" vertical="center" wrapText="1"/>
    </xf>
    <xf numFmtId="165" fontId="7" fillId="2" borderId="20" xfId="0" applyNumberFormat="1" applyFont="1" applyFill="1" applyBorder="1" applyAlignment="1">
      <alignment horizontal="right" vertical="center" wrapText="1"/>
    </xf>
    <xf numFmtId="0" fontId="1" fillId="0" borderId="0" xfId="0" applyFont="1"/>
    <xf numFmtId="0" fontId="7" fillId="2" borderId="4" xfId="0" applyFont="1" applyFill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left" vertical="center" wrapText="1"/>
    </xf>
    <xf numFmtId="0" fontId="2" fillId="10" borderId="11" xfId="0" applyFont="1" applyFill="1" applyBorder="1" applyAlignment="1">
      <alignment vertical="center" wrapText="1"/>
    </xf>
    <xf numFmtId="0" fontId="2" fillId="10" borderId="12" xfId="0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26" xfId="0" applyBorder="1"/>
    <xf numFmtId="0" fontId="14" fillId="20" borderId="4" xfId="0" applyFont="1" applyFill="1" applyBorder="1"/>
    <xf numFmtId="0" fontId="14" fillId="20" borderId="26" xfId="0" applyFont="1" applyFill="1" applyBorder="1"/>
    <xf numFmtId="0" fontId="14" fillId="0" borderId="1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20" borderId="1" xfId="0" applyFont="1" applyFill="1" applyBorder="1"/>
    <xf numFmtId="0" fontId="15" fillId="0" borderId="0" xfId="0" applyFont="1"/>
    <xf numFmtId="0" fontId="15" fillId="24" borderId="26" xfId="0" applyFont="1" applyFill="1" applyBorder="1"/>
    <xf numFmtId="0" fontId="15" fillId="15" borderId="1" xfId="0" applyFont="1" applyFill="1" applyBorder="1"/>
    <xf numFmtId="0" fontId="15" fillId="0" borderId="1" xfId="0" applyFont="1" applyBorder="1"/>
    <xf numFmtId="0" fontId="15" fillId="21" borderId="1" xfId="0" applyFont="1" applyFill="1" applyBorder="1" applyAlignment="1">
      <alignment horizontal="center" vertical="center"/>
    </xf>
    <xf numFmtId="0" fontId="15" fillId="4" borderId="1" xfId="0" applyFont="1" applyFill="1" applyBorder="1"/>
    <xf numFmtId="0" fontId="15" fillId="23" borderId="1" xfId="0" applyFont="1" applyFill="1" applyBorder="1" applyAlignment="1">
      <alignment horizontal="center" vertical="center"/>
    </xf>
    <xf numFmtId="0" fontId="15" fillId="23" borderId="1" xfId="0" applyFont="1" applyFill="1" applyBorder="1" applyAlignment="1">
      <alignment horizontal="center"/>
    </xf>
    <xf numFmtId="0" fontId="15" fillId="0" borderId="0" xfId="0" applyFont="1" applyAlignment="1">
      <alignment horizontal="right"/>
    </xf>
    <xf numFmtId="0" fontId="15" fillId="20" borderId="1" xfId="0" applyFont="1" applyFill="1" applyBorder="1"/>
    <xf numFmtId="0" fontId="15" fillId="24" borderId="28" xfId="0" applyFont="1" applyFill="1" applyBorder="1"/>
    <xf numFmtId="0" fontId="15" fillId="14" borderId="26" xfId="0" applyFont="1" applyFill="1" applyBorder="1"/>
    <xf numFmtId="0" fontId="15" fillId="22" borderId="29" xfId="0" applyFont="1" applyFill="1" applyBorder="1" applyAlignment="1">
      <alignment horizontal="right"/>
    </xf>
    <xf numFmtId="0" fontId="15" fillId="8" borderId="31" xfId="0" applyFont="1" applyFill="1" applyBorder="1"/>
    <xf numFmtId="0" fontId="15" fillId="8" borderId="26" xfId="0" applyFont="1" applyFill="1" applyBorder="1"/>
    <xf numFmtId="0" fontId="15" fillId="8" borderId="28" xfId="0" applyFont="1" applyFill="1" applyBorder="1"/>
    <xf numFmtId="0" fontId="15" fillId="20" borderId="26" xfId="0" applyFont="1" applyFill="1" applyBorder="1"/>
    <xf numFmtId="0" fontId="15" fillId="20" borderId="1" xfId="0" applyFont="1" applyFill="1" applyBorder="1" applyAlignment="1">
      <alignment horizontal="center"/>
    </xf>
    <xf numFmtId="0" fontId="15" fillId="20" borderId="27" xfId="0" applyFont="1" applyFill="1" applyBorder="1"/>
    <xf numFmtId="0" fontId="17" fillId="20" borderId="1" xfId="0" applyFont="1" applyFill="1" applyBorder="1"/>
    <xf numFmtId="0" fontId="17" fillId="20" borderId="31" xfId="0" applyFont="1" applyFill="1" applyBorder="1"/>
    <xf numFmtId="0" fontId="17" fillId="20" borderId="33" xfId="0" applyFont="1" applyFill="1" applyBorder="1"/>
    <xf numFmtId="0" fontId="15" fillId="15" borderId="26" xfId="0" applyFont="1" applyFill="1" applyBorder="1" applyAlignment="1">
      <alignment horizontal="right"/>
    </xf>
    <xf numFmtId="0" fontId="16" fillId="4" borderId="26" xfId="0" applyFont="1" applyFill="1" applyBorder="1" applyAlignment="1">
      <alignment horizontal="right"/>
    </xf>
    <xf numFmtId="0" fontId="15" fillId="22" borderId="28" xfId="0" applyFont="1" applyFill="1" applyBorder="1"/>
    <xf numFmtId="0" fontId="15" fillId="22" borderId="29" xfId="0" applyFont="1" applyFill="1" applyBorder="1"/>
    <xf numFmtId="0" fontId="15" fillId="0" borderId="0" xfId="0" applyFont="1" applyAlignment="1">
      <alignment vertical="center"/>
    </xf>
    <xf numFmtId="0" fontId="17" fillId="20" borderId="26" xfId="0" applyFont="1" applyFill="1" applyBorder="1"/>
    <xf numFmtId="0" fontId="15" fillId="20" borderId="23" xfId="0" applyFont="1" applyFill="1" applyBorder="1"/>
    <xf numFmtId="0" fontId="15" fillId="20" borderId="44" xfId="0" applyFont="1" applyFill="1" applyBorder="1"/>
    <xf numFmtId="0" fontId="15" fillId="0" borderId="26" xfId="0" applyFont="1" applyBorder="1"/>
    <xf numFmtId="0" fontId="15" fillId="15" borderId="26" xfId="0" applyFont="1" applyFill="1" applyBorder="1"/>
    <xf numFmtId="0" fontId="15" fillId="4" borderId="26" xfId="0" applyFont="1" applyFill="1" applyBorder="1"/>
    <xf numFmtId="0" fontId="15" fillId="0" borderId="1" xfId="0" applyFont="1" applyBorder="1" applyAlignment="1">
      <alignment horizontal="center" vertical="center"/>
    </xf>
    <xf numFmtId="0" fontId="15" fillId="28" borderId="30" xfId="0" applyFont="1" applyFill="1" applyBorder="1" applyAlignment="1">
      <alignment horizontal="center" vertical="center"/>
    </xf>
    <xf numFmtId="0" fontId="15" fillId="28" borderId="27" xfId="0" applyFont="1" applyFill="1" applyBorder="1" applyAlignment="1">
      <alignment horizontal="center"/>
    </xf>
    <xf numFmtId="0" fontId="15" fillId="28" borderId="30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10" borderId="27" xfId="0" applyFont="1" applyFill="1" applyBorder="1" applyAlignment="1">
      <alignment horizontal="center" vertical="center"/>
    </xf>
    <xf numFmtId="0" fontId="15" fillId="10" borderId="27" xfId="0" applyFont="1" applyFill="1" applyBorder="1" applyAlignment="1">
      <alignment horizontal="center"/>
    </xf>
    <xf numFmtId="0" fontId="15" fillId="0" borderId="29" xfId="0" applyFont="1" applyBorder="1"/>
    <xf numFmtId="0" fontId="15" fillId="22" borderId="28" xfId="0" applyFont="1" applyFill="1" applyBorder="1" applyAlignment="1">
      <alignment horizontal="right"/>
    </xf>
    <xf numFmtId="0" fontId="0" fillId="0" borderId="0" xfId="0" applyAlignment="1">
      <alignment vertic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wrapText="1"/>
    </xf>
    <xf numFmtId="0" fontId="16" fillId="0" borderId="26" xfId="0" applyFont="1" applyBorder="1" applyAlignment="1">
      <alignment horizontal="right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right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3" xfId="0" applyFont="1" applyBorder="1"/>
    <xf numFmtId="2" fontId="15" fillId="10" borderId="1" xfId="0" applyNumberFormat="1" applyFont="1" applyFill="1" applyBorder="1" applyAlignment="1">
      <alignment horizontal="center" vertical="center"/>
    </xf>
    <xf numFmtId="2" fontId="15" fillId="10" borderId="27" xfId="0" applyNumberFormat="1" applyFont="1" applyFill="1" applyBorder="1" applyAlignment="1">
      <alignment horizontal="center" vertical="center"/>
    </xf>
    <xf numFmtId="2" fontId="15" fillId="28" borderId="29" xfId="0" applyNumberFormat="1" applyFont="1" applyFill="1" applyBorder="1" applyAlignment="1">
      <alignment horizontal="center" vertical="center"/>
    </xf>
    <xf numFmtId="2" fontId="15" fillId="28" borderId="30" xfId="0" applyNumberFormat="1" applyFont="1" applyFill="1" applyBorder="1" applyAlignment="1">
      <alignment horizontal="center" vertical="center"/>
    </xf>
    <xf numFmtId="165" fontId="7" fillId="2" borderId="0" xfId="0" applyNumberFormat="1" applyFont="1" applyFill="1" applyAlignment="1">
      <alignment horizontal="right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12" fillId="0" borderId="23" xfId="0" applyFont="1" applyBorder="1"/>
    <xf numFmtId="0" fontId="12" fillId="0" borderId="0" xfId="0" applyFont="1" applyAlignment="1">
      <alignment horizontal="center"/>
    </xf>
    <xf numFmtId="0" fontId="12" fillId="0" borderId="44" xfId="0" applyFont="1" applyBorder="1" applyAlignment="1">
      <alignment horizontal="center"/>
    </xf>
    <xf numFmtId="0" fontId="0" fillId="0" borderId="23" xfId="0" applyBorder="1"/>
    <xf numFmtId="0" fontId="0" fillId="0" borderId="44" xfId="0" applyBorder="1"/>
    <xf numFmtId="0" fontId="0" fillId="0" borderId="0" xfId="0" applyAlignment="1">
      <alignment horizontal="center"/>
    </xf>
    <xf numFmtId="0" fontId="12" fillId="0" borderId="0" xfId="0" applyFont="1"/>
    <xf numFmtId="0" fontId="12" fillId="30" borderId="23" xfId="0" applyFont="1" applyFill="1" applyBorder="1"/>
    <xf numFmtId="0" fontId="12" fillId="0" borderId="44" xfId="0" applyFont="1" applyBorder="1"/>
    <xf numFmtId="0" fontId="12" fillId="30" borderId="21" xfId="0" applyFont="1" applyFill="1" applyBorder="1"/>
    <xf numFmtId="0" fontId="0" fillId="30" borderId="50" xfId="0" applyFill="1" applyBorder="1" applyAlignment="1">
      <alignment horizontal="center"/>
    </xf>
    <xf numFmtId="0" fontId="12" fillId="32" borderId="19" xfId="0" applyFont="1" applyFill="1" applyBorder="1"/>
    <xf numFmtId="0" fontId="0" fillId="30" borderId="50" xfId="0" applyFill="1" applyBorder="1"/>
    <xf numFmtId="0" fontId="0" fillId="30" borderId="50" xfId="0" applyFill="1" applyBorder="1" applyAlignment="1">
      <alignment horizontal="center" vertical="center"/>
    </xf>
    <xf numFmtId="0" fontId="1" fillId="0" borderId="21" xfId="0" applyFont="1" applyBorder="1" applyAlignment="1">
      <alignment horizontal="left"/>
    </xf>
    <xf numFmtId="0" fontId="12" fillId="30" borderId="23" xfId="0" applyFont="1" applyFill="1" applyBorder="1" applyAlignment="1">
      <alignment horizontal="center"/>
    </xf>
    <xf numFmtId="0" fontId="12" fillId="30" borderId="0" xfId="0" applyFont="1" applyFill="1" applyAlignment="1">
      <alignment horizontal="center"/>
    </xf>
    <xf numFmtId="0" fontId="12" fillId="30" borderId="44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44" xfId="0" applyBorder="1" applyAlignment="1">
      <alignment horizontal="right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/>
    </xf>
    <xf numFmtId="2" fontId="0" fillId="0" borderId="0" xfId="0" applyNumberFormat="1" applyAlignment="1">
      <alignment horizontal="right"/>
    </xf>
    <xf numFmtId="2" fontId="12" fillId="32" borderId="44" xfId="0" applyNumberFormat="1" applyFont="1" applyFill="1" applyBorder="1" applyAlignment="1">
      <alignment horizontal="right"/>
    </xf>
    <xf numFmtId="0" fontId="0" fillId="0" borderId="23" xfId="0" applyBorder="1" applyAlignment="1">
      <alignment horizontal="center"/>
    </xf>
    <xf numFmtId="2" fontId="12" fillId="0" borderId="0" xfId="0" applyNumberFormat="1" applyFont="1" applyAlignment="1">
      <alignment horizontal="right"/>
    </xf>
    <xf numFmtId="2" fontId="12" fillId="0" borderId="44" xfId="0" applyNumberFormat="1" applyFont="1" applyBorder="1" applyAlignment="1">
      <alignment horizontal="right"/>
    </xf>
    <xf numFmtId="2" fontId="0" fillId="0" borderId="44" xfId="0" applyNumberFormat="1" applyBorder="1" applyAlignment="1">
      <alignment horizontal="right"/>
    </xf>
    <xf numFmtId="0" fontId="0" fillId="0" borderId="2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2" fillId="32" borderId="44" xfId="0" applyFont="1" applyFill="1" applyBorder="1" applyAlignment="1">
      <alignment horizontal="right"/>
    </xf>
    <xf numFmtId="0" fontId="0" fillId="0" borderId="23" xfId="0" applyBorder="1" applyAlignment="1">
      <alignment horizontal="left" vertical="center"/>
    </xf>
    <xf numFmtId="0" fontId="0" fillId="0" borderId="44" xfId="0" applyBorder="1" applyAlignment="1">
      <alignment horizontal="left"/>
    </xf>
    <xf numFmtId="0" fontId="12" fillId="0" borderId="21" xfId="0" applyFont="1" applyBorder="1" applyAlignment="1">
      <alignment horizontal="left"/>
    </xf>
    <xf numFmtId="0" fontId="0" fillId="0" borderId="50" xfId="0" applyBorder="1" applyAlignment="1">
      <alignment horizontal="left"/>
    </xf>
    <xf numFmtId="0" fontId="0" fillId="31" borderId="19" xfId="0" applyFill="1" applyBorder="1" applyAlignment="1">
      <alignment horizontal="left"/>
    </xf>
    <xf numFmtId="2" fontId="0" fillId="0" borderId="50" xfId="0" applyNumberFormat="1" applyBorder="1" applyAlignment="1">
      <alignment horizontal="right"/>
    </xf>
    <xf numFmtId="2" fontId="0" fillId="0" borderId="19" xfId="0" applyNumberForma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2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4" xfId="0" applyFont="1" applyBorder="1" applyAlignment="1">
      <alignment horizontal="center"/>
    </xf>
    <xf numFmtId="2" fontId="0" fillId="31" borderId="19" xfId="0" applyNumberFormat="1" applyFill="1" applyBorder="1" applyAlignment="1">
      <alignment horizontal="right"/>
    </xf>
    <xf numFmtId="0" fontId="2" fillId="18" borderId="1" xfId="0" applyFont="1" applyFill="1" applyBorder="1" applyAlignment="1">
      <alignment horizontal="center" vertical="center" wrapText="1"/>
    </xf>
    <xf numFmtId="165" fontId="7" fillId="4" borderId="1" xfId="0" applyNumberFormat="1" applyFont="1" applyFill="1" applyBorder="1" applyAlignment="1">
      <alignment horizontal="right" vertical="center" wrapText="1"/>
    </xf>
    <xf numFmtId="165" fontId="7" fillId="4" borderId="4" xfId="0" applyNumberFormat="1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4" borderId="16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" fontId="2" fillId="24" borderId="1" xfId="0" applyNumberFormat="1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15" fillId="0" borderId="20" xfId="0" applyFont="1" applyBorder="1"/>
    <xf numFmtId="0" fontId="14" fillId="20" borderId="33" xfId="0" applyFont="1" applyFill="1" applyBorder="1"/>
    <xf numFmtId="0" fontId="17" fillId="20" borderId="32" xfId="0" applyFont="1" applyFill="1" applyBorder="1"/>
    <xf numFmtId="0" fontId="0" fillId="0" borderId="27" xfId="0" applyBorder="1"/>
    <xf numFmtId="0" fontId="0" fillId="0" borderId="30" xfId="0" applyBorder="1"/>
    <xf numFmtId="0" fontId="15" fillId="14" borderId="28" xfId="0" applyFont="1" applyFill="1" applyBorder="1"/>
    <xf numFmtId="0" fontId="0" fillId="20" borderId="26" xfId="0" applyFill="1" applyBorder="1"/>
    <xf numFmtId="0" fontId="15" fillId="4" borderId="28" xfId="0" applyFont="1" applyFill="1" applyBorder="1" applyAlignment="1">
      <alignment horizontal="right"/>
    </xf>
    <xf numFmtId="0" fontId="0" fillId="27" borderId="30" xfId="0" applyFill="1" applyBorder="1"/>
    <xf numFmtId="0" fontId="0" fillId="33" borderId="1" xfId="0" applyFill="1" applyBorder="1" applyAlignment="1">
      <alignment horizontal="center" vertical="center"/>
    </xf>
    <xf numFmtId="0" fontId="0" fillId="33" borderId="29" xfId="0" applyFill="1" applyBorder="1" applyAlignment="1">
      <alignment horizontal="center" vertical="center"/>
    </xf>
    <xf numFmtId="0" fontId="0" fillId="27" borderId="27" xfId="0" applyFill="1" applyBorder="1" applyAlignment="1">
      <alignment horizontal="center" vertical="center"/>
    </xf>
    <xf numFmtId="0" fontId="0" fillId="27" borderId="30" xfId="0" applyFill="1" applyBorder="1" applyAlignment="1">
      <alignment horizontal="center" vertical="center"/>
    </xf>
    <xf numFmtId="0" fontId="15" fillId="26" borderId="43" xfId="0" applyFont="1" applyFill="1" applyBorder="1" applyAlignment="1">
      <alignment vertical="center"/>
    </xf>
    <xf numFmtId="0" fontId="0" fillId="28" borderId="53" xfId="0" applyFill="1" applyBorder="1" applyAlignment="1">
      <alignment horizontal="center" vertical="center"/>
    </xf>
    <xf numFmtId="0" fontId="15" fillId="25" borderId="43" xfId="0" applyFont="1" applyFill="1" applyBorder="1" applyAlignment="1">
      <alignment vertical="center"/>
    </xf>
    <xf numFmtId="0" fontId="15" fillId="19" borderId="29" xfId="0" applyFont="1" applyFill="1" applyBorder="1"/>
    <xf numFmtId="0" fontId="0" fillId="0" borderId="29" xfId="0" applyBorder="1"/>
    <xf numFmtId="0" fontId="15" fillId="26" borderId="42" xfId="0" applyFont="1" applyFill="1" applyBorder="1" applyAlignment="1">
      <alignment vertical="center"/>
    </xf>
    <xf numFmtId="0" fontId="0" fillId="28" borderId="36" xfId="0" applyFill="1" applyBorder="1" applyAlignment="1">
      <alignment horizontal="center" vertical="center"/>
    </xf>
    <xf numFmtId="0" fontId="15" fillId="25" borderId="42" xfId="0" applyFont="1" applyFill="1" applyBorder="1" applyAlignment="1">
      <alignment vertical="center"/>
    </xf>
    <xf numFmtId="0" fontId="15" fillId="28" borderId="29" xfId="0" applyFont="1" applyFill="1" applyBorder="1"/>
    <xf numFmtId="0" fontId="15" fillId="20" borderId="33" xfId="0" applyFont="1" applyFill="1" applyBorder="1"/>
    <xf numFmtId="0" fontId="15" fillId="20" borderId="32" xfId="0" applyFont="1" applyFill="1" applyBorder="1"/>
    <xf numFmtId="0" fontId="0" fillId="20" borderId="31" xfId="0" applyFill="1" applyBorder="1"/>
    <xf numFmtId="0" fontId="0" fillId="29" borderId="29" xfId="0" applyFill="1" applyBorder="1"/>
    <xf numFmtId="0" fontId="15" fillId="0" borderId="1" xfId="0" applyFont="1" applyBorder="1" applyAlignment="1">
      <alignment horizontal="center"/>
    </xf>
    <xf numFmtId="0" fontId="15" fillId="0" borderId="27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2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2" fillId="13" borderId="10" xfId="0" applyFont="1" applyFill="1" applyBorder="1" applyAlignment="1">
      <alignment horizontal="center" vertical="center" wrapText="1"/>
    </xf>
    <xf numFmtId="0" fontId="2" fillId="17" borderId="22" xfId="0" applyFont="1" applyFill="1" applyBorder="1" applyAlignment="1">
      <alignment horizontal="center" vertical="center" wrapText="1"/>
    </xf>
    <xf numFmtId="0" fontId="2" fillId="17" borderId="17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4" xfId="0" applyFont="1" applyBorder="1" applyAlignment="1">
      <alignment horizontal="center"/>
    </xf>
    <xf numFmtId="0" fontId="20" fillId="30" borderId="9" xfId="0" applyFont="1" applyFill="1" applyBorder="1" applyAlignment="1">
      <alignment horizontal="center" vertical="center"/>
    </xf>
    <xf numFmtId="0" fontId="20" fillId="30" borderId="17" xfId="0" applyFont="1" applyFill="1" applyBorder="1" applyAlignment="1">
      <alignment horizontal="center" vertical="center"/>
    </xf>
    <xf numFmtId="0" fontId="20" fillId="30" borderId="10" xfId="0" applyFont="1" applyFill="1" applyBorder="1" applyAlignment="1">
      <alignment horizontal="center" vertical="center"/>
    </xf>
    <xf numFmtId="0" fontId="19" fillId="30" borderId="25" xfId="0" applyFont="1" applyFill="1" applyBorder="1" applyAlignment="1">
      <alignment horizontal="center"/>
    </xf>
    <xf numFmtId="0" fontId="19" fillId="30" borderId="34" xfId="0" applyFont="1" applyFill="1" applyBorder="1" applyAlignment="1">
      <alignment horizontal="center"/>
    </xf>
    <xf numFmtId="0" fontId="19" fillId="30" borderId="45" xfId="0" applyFont="1" applyFill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31" borderId="25" xfId="0" applyFont="1" applyFill="1" applyBorder="1" applyAlignment="1">
      <alignment horizontal="center"/>
    </xf>
    <xf numFmtId="0" fontId="12" fillId="31" borderId="34" xfId="0" applyFont="1" applyFill="1" applyBorder="1" applyAlignment="1">
      <alignment horizontal="center"/>
    </xf>
    <xf numFmtId="0" fontId="12" fillId="31" borderId="45" xfId="0" applyFont="1" applyFill="1" applyBorder="1" applyAlignment="1">
      <alignment horizontal="center"/>
    </xf>
    <xf numFmtId="0" fontId="21" fillId="0" borderId="25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15" fillId="20" borderId="24" xfId="0" applyFont="1" applyFill="1" applyBorder="1" applyAlignment="1">
      <alignment horizontal="center" vertical="center" wrapText="1"/>
    </xf>
    <xf numFmtId="0" fontId="15" fillId="20" borderId="38" xfId="0" applyFont="1" applyFill="1" applyBorder="1" applyAlignment="1">
      <alignment horizontal="center" vertical="center" wrapText="1"/>
    </xf>
    <xf numFmtId="0" fontId="15" fillId="8" borderId="31" xfId="0" applyFont="1" applyFill="1" applyBorder="1" applyAlignment="1">
      <alignment horizontal="center"/>
    </xf>
    <xf numFmtId="0" fontId="15" fillId="8" borderId="33" xfId="0" applyFont="1" applyFill="1" applyBorder="1" applyAlignment="1">
      <alignment horizontal="center"/>
    </xf>
    <xf numFmtId="0" fontId="15" fillId="8" borderId="32" xfId="0" applyFont="1" applyFill="1" applyBorder="1" applyAlignment="1">
      <alignment horizontal="center"/>
    </xf>
    <xf numFmtId="0" fontId="15" fillId="8" borderId="31" xfId="0" applyFont="1" applyFill="1" applyBorder="1" applyAlignment="1">
      <alignment horizontal="center" vertical="center"/>
    </xf>
    <xf numFmtId="0" fontId="15" fillId="8" borderId="33" xfId="0" applyFont="1" applyFill="1" applyBorder="1" applyAlignment="1">
      <alignment horizontal="center" vertical="center"/>
    </xf>
    <xf numFmtId="0" fontId="15" fillId="8" borderId="32" xfId="0" applyFont="1" applyFill="1" applyBorder="1" applyAlignment="1">
      <alignment horizontal="center" vertical="center"/>
    </xf>
    <xf numFmtId="0" fontId="15" fillId="15" borderId="26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/>
    </xf>
    <xf numFmtId="0" fontId="14" fillId="8" borderId="34" xfId="0" applyFont="1" applyFill="1" applyBorder="1" applyAlignment="1">
      <alignment horizontal="center"/>
    </xf>
    <xf numFmtId="0" fontId="14" fillId="8" borderId="45" xfId="0" applyFont="1" applyFill="1" applyBorder="1" applyAlignment="1">
      <alignment horizontal="center"/>
    </xf>
    <xf numFmtId="169" fontId="15" fillId="29" borderId="1" xfId="0" applyNumberFormat="1" applyFont="1" applyFill="1" applyBorder="1" applyAlignment="1">
      <alignment horizontal="center" vertical="center"/>
    </xf>
    <xf numFmtId="0" fontId="15" fillId="20" borderId="0" xfId="0" applyFont="1" applyFill="1" applyAlignment="1">
      <alignment horizontal="center" vertical="center" wrapText="1"/>
    </xf>
    <xf numFmtId="169" fontId="15" fillId="29" borderId="4" xfId="0" applyNumberFormat="1" applyFont="1" applyFill="1" applyBorder="1" applyAlignment="1">
      <alignment horizontal="center" vertical="center"/>
    </xf>
    <xf numFmtId="169" fontId="15" fillId="29" borderId="5" xfId="0" applyNumberFormat="1" applyFont="1" applyFill="1" applyBorder="1" applyAlignment="1">
      <alignment horizontal="center" vertical="center"/>
    </xf>
    <xf numFmtId="169" fontId="15" fillId="27" borderId="27" xfId="0" applyNumberFormat="1" applyFont="1" applyFill="1" applyBorder="1" applyAlignment="1">
      <alignment horizontal="center" vertical="center"/>
    </xf>
    <xf numFmtId="0" fontId="14" fillId="8" borderId="41" xfId="0" applyFont="1" applyFill="1" applyBorder="1" applyAlignment="1">
      <alignment horizontal="center"/>
    </xf>
    <xf numFmtId="0" fontId="14" fillId="8" borderId="42" xfId="0" applyFont="1" applyFill="1" applyBorder="1" applyAlignment="1">
      <alignment horizontal="center"/>
    </xf>
    <xf numFmtId="0" fontId="14" fillId="8" borderId="43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 vertical="center" wrapText="1"/>
    </xf>
    <xf numFmtId="0" fontId="15" fillId="22" borderId="47" xfId="0" applyFont="1" applyFill="1" applyBorder="1" applyAlignment="1">
      <alignment horizontal="right"/>
    </xf>
    <xf numFmtId="0" fontId="15" fillId="22" borderId="36" xfId="0" applyFont="1" applyFill="1" applyBorder="1" applyAlignment="1">
      <alignment horizontal="right"/>
    </xf>
    <xf numFmtId="0" fontId="15" fillId="22" borderId="37" xfId="0" applyFont="1" applyFill="1" applyBorder="1" applyAlignment="1">
      <alignment horizontal="right"/>
    </xf>
    <xf numFmtId="0" fontId="1" fillId="8" borderId="31" xfId="0" applyFont="1" applyFill="1" applyBorder="1" applyAlignment="1">
      <alignment horizontal="center"/>
    </xf>
    <xf numFmtId="0" fontId="1" fillId="8" borderId="33" xfId="0" applyFont="1" applyFill="1" applyBorder="1" applyAlignment="1">
      <alignment horizontal="center"/>
    </xf>
    <xf numFmtId="0" fontId="1" fillId="8" borderId="32" xfId="0" applyFont="1" applyFill="1" applyBorder="1" applyAlignment="1">
      <alignment horizontal="center"/>
    </xf>
    <xf numFmtId="0" fontId="15" fillId="25" borderId="46" xfId="0" applyFont="1" applyFill="1" applyBorder="1" applyAlignment="1">
      <alignment horizontal="right"/>
    </xf>
    <xf numFmtId="0" fontId="15" fillId="25" borderId="3" xfId="0" applyFont="1" applyFill="1" applyBorder="1" applyAlignment="1">
      <alignment horizontal="right"/>
    </xf>
    <xf numFmtId="0" fontId="15" fillId="25" borderId="20" xfId="0" applyFont="1" applyFill="1" applyBorder="1" applyAlignment="1">
      <alignment horizontal="right"/>
    </xf>
    <xf numFmtId="0" fontId="14" fillId="8" borderId="31" xfId="0" applyFont="1" applyFill="1" applyBorder="1" applyAlignment="1">
      <alignment horizontal="center"/>
    </xf>
    <xf numFmtId="0" fontId="14" fillId="8" borderId="33" xfId="0" applyFont="1" applyFill="1" applyBorder="1" applyAlignment="1">
      <alignment horizontal="center"/>
    </xf>
    <xf numFmtId="0" fontId="14" fillId="8" borderId="32" xfId="0" applyFont="1" applyFill="1" applyBorder="1" applyAlignment="1">
      <alignment horizontal="center"/>
    </xf>
    <xf numFmtId="0" fontId="15" fillId="22" borderId="28" xfId="0" applyFont="1" applyFill="1" applyBorder="1" applyAlignment="1">
      <alignment horizontal="right"/>
    </xf>
    <xf numFmtId="0" fontId="15" fillId="22" borderId="29" xfId="0" applyFont="1" applyFill="1" applyBorder="1" applyAlignment="1">
      <alignment horizontal="right"/>
    </xf>
    <xf numFmtId="0" fontId="15" fillId="22" borderId="48" xfId="0" applyFont="1" applyFill="1" applyBorder="1" applyAlignment="1">
      <alignment horizontal="center" vertical="center"/>
    </xf>
    <xf numFmtId="0" fontId="15" fillId="22" borderId="15" xfId="0" applyFont="1" applyFill="1" applyBorder="1" applyAlignment="1">
      <alignment horizontal="center" vertical="center"/>
    </xf>
    <xf numFmtId="0" fontId="15" fillId="22" borderId="39" xfId="0" applyFont="1" applyFill="1" applyBorder="1" applyAlignment="1">
      <alignment horizontal="center" vertical="center"/>
    </xf>
    <xf numFmtId="0" fontId="1" fillId="8" borderId="41" xfId="0" applyFont="1" applyFill="1" applyBorder="1" applyAlignment="1">
      <alignment horizontal="center"/>
    </xf>
    <xf numFmtId="0" fontId="1" fillId="8" borderId="42" xfId="0" applyFont="1" applyFill="1" applyBorder="1" applyAlignment="1">
      <alignment horizontal="center"/>
    </xf>
    <xf numFmtId="0" fontId="1" fillId="8" borderId="43" xfId="0" applyFont="1" applyFill="1" applyBorder="1" applyAlignment="1">
      <alignment horizontal="center"/>
    </xf>
    <xf numFmtId="0" fontId="15" fillId="8" borderId="51" xfId="0" applyFont="1" applyFill="1" applyBorder="1" applyAlignment="1">
      <alignment horizontal="center"/>
    </xf>
    <xf numFmtId="0" fontId="15" fillId="8" borderId="5" xfId="0" applyFont="1" applyFill="1" applyBorder="1" applyAlignment="1">
      <alignment horizontal="center"/>
    </xf>
    <xf numFmtId="0" fontId="15" fillId="8" borderId="52" xfId="0" applyFont="1" applyFill="1" applyBorder="1" applyAlignment="1">
      <alignment horizontal="center"/>
    </xf>
    <xf numFmtId="0" fontId="1" fillId="22" borderId="48" xfId="0" applyFont="1" applyFill="1" applyBorder="1" applyAlignment="1">
      <alignment horizontal="center" vertical="center"/>
    </xf>
    <xf numFmtId="0" fontId="1" fillId="22" borderId="15" xfId="0" applyFont="1" applyFill="1" applyBorder="1" applyAlignment="1">
      <alignment horizontal="center" vertical="center"/>
    </xf>
    <xf numFmtId="0" fontId="1" fillId="22" borderId="39" xfId="0" applyFont="1" applyFill="1" applyBorder="1" applyAlignment="1">
      <alignment horizontal="center" vertical="center"/>
    </xf>
    <xf numFmtId="0" fontId="15" fillId="28" borderId="49" xfId="0" applyFont="1" applyFill="1" applyBorder="1" applyAlignment="1">
      <alignment horizontal="center" vertical="center"/>
    </xf>
    <xf numFmtId="0" fontId="15" fillId="28" borderId="35" xfId="0" applyFont="1" applyFill="1" applyBorder="1" applyAlignment="1">
      <alignment horizontal="center" vertical="center"/>
    </xf>
    <xf numFmtId="0" fontId="15" fillId="28" borderId="40" xfId="0" applyFont="1" applyFill="1" applyBorder="1" applyAlignment="1">
      <alignment horizontal="center" vertical="center"/>
    </xf>
    <xf numFmtId="0" fontId="1" fillId="14" borderId="26" xfId="0" applyFont="1" applyFill="1" applyBorder="1" applyAlignment="1">
      <alignment horizontal="center" vertical="center" wrapText="1"/>
    </xf>
    <xf numFmtId="0" fontId="1" fillId="14" borderId="28" xfId="0" applyFont="1" applyFill="1" applyBorder="1" applyAlignment="1">
      <alignment horizontal="center" vertical="center" wrapText="1"/>
    </xf>
    <xf numFmtId="169" fontId="0" fillId="29" borderId="1" xfId="0" applyNumberFormat="1" applyFill="1" applyBorder="1" applyAlignment="1">
      <alignment horizontal="center" vertical="center"/>
    </xf>
    <xf numFmtId="169" fontId="0" fillId="29" borderId="29" xfId="0" applyNumberFormat="1" applyFill="1" applyBorder="1" applyAlignment="1">
      <alignment horizontal="center" vertical="center"/>
    </xf>
    <xf numFmtId="169" fontId="0" fillId="27" borderId="27" xfId="0" applyNumberFormat="1" applyFill="1" applyBorder="1" applyAlignment="1">
      <alignment horizontal="center" vertical="center"/>
    </xf>
    <xf numFmtId="169" fontId="0" fillId="27" borderId="30" xfId="0" applyNumberFormat="1" applyFill="1" applyBorder="1" applyAlignment="1">
      <alignment horizontal="center" vertical="center"/>
    </xf>
    <xf numFmtId="0" fontId="1" fillId="14" borderId="26" xfId="0" applyFont="1" applyFill="1" applyBorder="1" applyAlignment="1">
      <alignment horizontal="center" vertical="center"/>
    </xf>
    <xf numFmtId="0" fontId="1" fillId="14" borderId="28" xfId="0" applyFont="1" applyFill="1" applyBorder="1" applyAlignment="1">
      <alignment horizontal="center" vertical="center"/>
    </xf>
    <xf numFmtId="0" fontId="15" fillId="26" borderId="47" xfId="0" applyFont="1" applyFill="1" applyBorder="1" applyAlignment="1">
      <alignment horizontal="right"/>
    </xf>
    <xf numFmtId="0" fontId="15" fillId="26" borderId="36" xfId="0" applyFont="1" applyFill="1" applyBorder="1" applyAlignment="1">
      <alignment horizontal="right"/>
    </xf>
    <xf numFmtId="0" fontId="15" fillId="26" borderId="37" xfId="0" applyFont="1" applyFill="1" applyBorder="1" applyAlignment="1">
      <alignment horizontal="right"/>
    </xf>
  </cellXfs>
  <cellStyles count="3">
    <cellStyle name="Normal" xfId="0" builtinId="0"/>
    <cellStyle name="Normal 2" xfId="1" xr:uid="{00000000-0005-0000-0000-000001000000}"/>
    <cellStyle name="Yüzd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3CF31"/>
      <color rgb="FFCCCC0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954592</xdr:colOff>
      <xdr:row>1</xdr:row>
      <xdr:rowOff>9211</xdr:rowOff>
    </xdr:from>
    <xdr:to>
      <xdr:col>6</xdr:col>
      <xdr:colOff>174352</xdr:colOff>
      <xdr:row>6</xdr:row>
      <xdr:rowOff>185057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021" y="324897"/>
          <a:ext cx="2039160" cy="13732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K148"/>
  <sheetViews>
    <sheetView tabSelected="1" showWhiteSpace="0" view="pageBreakPreview" topLeftCell="A110" zoomScale="130" zoomScaleNormal="85" zoomScaleSheetLayoutView="130" workbookViewId="0">
      <selection activeCell="A141" sqref="A141"/>
    </sheetView>
  </sheetViews>
  <sheetFormatPr defaultColWidth="9.140625" defaultRowHeight="12.75" x14ac:dyDescent="0.2"/>
  <cols>
    <col min="1" max="1" width="63.42578125" style="3" customWidth="1"/>
    <col min="2" max="2" width="33" style="3" bestFit="1" customWidth="1"/>
    <col min="3" max="3" width="15.85546875" style="2" bestFit="1" customWidth="1"/>
    <col min="4" max="4" width="22.85546875" style="2" customWidth="1"/>
    <col min="5" max="5" width="15.5703125" style="3" customWidth="1"/>
    <col min="6" max="6" width="25.5703125" style="3" customWidth="1"/>
    <col min="7" max="7" width="15.42578125" style="3" customWidth="1"/>
    <col min="8" max="8" width="15.140625" style="3" customWidth="1"/>
    <col min="9" max="9" width="9.140625" style="3" customWidth="1"/>
    <col min="10" max="16384" width="9.140625" style="3"/>
  </cols>
  <sheetData>
    <row r="1" spans="1:8" ht="25.15" customHeight="1" thickBot="1" x14ac:dyDescent="0.25">
      <c r="A1" s="269" t="s">
        <v>49</v>
      </c>
      <c r="B1" s="270"/>
      <c r="C1" s="270"/>
      <c r="D1" s="270"/>
      <c r="E1" s="271"/>
      <c r="F1" s="266"/>
      <c r="G1" s="26"/>
    </row>
    <row r="2" spans="1:8" ht="19.149999999999999" customHeight="1" thickBot="1" x14ac:dyDescent="0.25">
      <c r="A2" s="18" t="s">
        <v>31</v>
      </c>
      <c r="B2" s="272" t="s">
        <v>250</v>
      </c>
      <c r="C2" s="273"/>
      <c r="D2" s="273"/>
      <c r="E2" s="274"/>
      <c r="F2" s="267"/>
      <c r="G2" s="27"/>
    </row>
    <row r="3" spans="1:8" ht="19.149999999999999" customHeight="1" thickBot="1" x14ac:dyDescent="0.25">
      <c r="A3" s="18" t="s">
        <v>37</v>
      </c>
      <c r="B3" s="272"/>
      <c r="C3" s="273"/>
      <c r="D3" s="273"/>
      <c r="E3" s="274"/>
      <c r="F3" s="267"/>
      <c r="G3" s="28"/>
    </row>
    <row r="4" spans="1:8" ht="19.149999999999999" customHeight="1" thickBot="1" x14ac:dyDescent="0.25">
      <c r="A4" s="18" t="s">
        <v>32</v>
      </c>
      <c r="B4" s="275" t="s">
        <v>222</v>
      </c>
      <c r="C4" s="276"/>
      <c r="D4" s="276"/>
      <c r="E4" s="277"/>
      <c r="F4" s="267"/>
      <c r="G4" s="29"/>
    </row>
    <row r="5" spans="1:8" ht="19.149999999999999" customHeight="1" thickBot="1" x14ac:dyDescent="0.25">
      <c r="A5" s="18" t="s">
        <v>58</v>
      </c>
      <c r="B5" s="275" t="s">
        <v>223</v>
      </c>
      <c r="C5" s="276"/>
      <c r="D5" s="276"/>
      <c r="E5" s="277"/>
      <c r="F5" s="267"/>
      <c r="G5" s="29"/>
    </row>
    <row r="6" spans="1:8" ht="19.5" customHeight="1" thickBot="1" x14ac:dyDescent="0.25">
      <c r="A6" s="19" t="s">
        <v>47</v>
      </c>
      <c r="B6" s="25">
        <v>58</v>
      </c>
      <c r="C6" s="25" t="s">
        <v>64</v>
      </c>
      <c r="D6" s="275">
        <v>2500</v>
      </c>
      <c r="E6" s="277"/>
      <c r="F6" s="267"/>
      <c r="G6" s="30"/>
    </row>
    <row r="7" spans="1:8" ht="19.5" customHeight="1" thickBot="1" x14ac:dyDescent="0.25">
      <c r="A7" s="278" t="s">
        <v>33</v>
      </c>
      <c r="B7" s="20" t="s">
        <v>34</v>
      </c>
      <c r="C7" s="20" t="s">
        <v>35</v>
      </c>
      <c r="D7" s="20" t="s">
        <v>36</v>
      </c>
      <c r="E7" s="20" t="s">
        <v>35</v>
      </c>
      <c r="F7" s="267"/>
      <c r="G7" s="31"/>
    </row>
    <row r="8" spans="1:8" ht="19.5" customHeight="1" thickBot="1" x14ac:dyDescent="0.25">
      <c r="A8" s="279"/>
      <c r="B8" s="57" t="s">
        <v>224</v>
      </c>
      <c r="C8" s="58">
        <v>45981</v>
      </c>
      <c r="D8" s="59"/>
      <c r="E8" s="60"/>
      <c r="F8" s="268"/>
      <c r="G8" s="32"/>
    </row>
    <row r="9" spans="1:8" ht="13.5" thickBot="1" x14ac:dyDescent="0.25">
      <c r="A9" s="263"/>
      <c r="B9" s="264"/>
      <c r="C9" s="264"/>
      <c r="D9" s="264"/>
      <c r="E9" s="264"/>
      <c r="F9" s="265"/>
    </row>
    <row r="10" spans="1:8" ht="32.25" thickBot="1" x14ac:dyDescent="0.25">
      <c r="A10" s="75" t="s">
        <v>94</v>
      </c>
      <c r="B10" s="76" t="s">
        <v>38</v>
      </c>
      <c r="C10" s="76" t="s">
        <v>0</v>
      </c>
      <c r="D10" s="76" t="s">
        <v>12</v>
      </c>
      <c r="E10" s="77" t="s">
        <v>39</v>
      </c>
      <c r="F10" s="22" t="s">
        <v>71</v>
      </c>
      <c r="G10" s="37" t="s">
        <v>51</v>
      </c>
      <c r="H10" s="38" t="s">
        <v>53</v>
      </c>
    </row>
    <row r="11" spans="1:8" ht="16.149999999999999" customHeight="1" x14ac:dyDescent="0.2">
      <c r="A11" s="6" t="s">
        <v>95</v>
      </c>
      <c r="B11" s="4" t="s">
        <v>96</v>
      </c>
      <c r="C11" s="234">
        <v>15</v>
      </c>
      <c r="D11" s="14"/>
      <c r="E11" s="78"/>
      <c r="F11" s="12"/>
      <c r="G11" s="40"/>
      <c r="H11" s="39"/>
    </row>
    <row r="12" spans="1:8" ht="18.600000000000001" customHeight="1" x14ac:dyDescent="0.2">
      <c r="A12" s="6" t="s">
        <v>95</v>
      </c>
      <c r="B12" s="4" t="s">
        <v>225</v>
      </c>
      <c r="C12" s="234">
        <v>2</v>
      </c>
      <c r="D12" s="14"/>
      <c r="E12" s="78"/>
      <c r="F12" s="12"/>
      <c r="G12" s="40"/>
      <c r="H12" s="39"/>
    </row>
    <row r="13" spans="1:8" ht="18.600000000000001" customHeight="1" x14ac:dyDescent="0.2">
      <c r="A13" s="6" t="s">
        <v>95</v>
      </c>
      <c r="B13" s="4" t="s">
        <v>252</v>
      </c>
      <c r="C13" s="234">
        <v>2</v>
      </c>
      <c r="D13" s="14"/>
      <c r="E13" s="78"/>
      <c r="F13" s="12"/>
      <c r="G13" s="40"/>
      <c r="H13" s="39"/>
    </row>
    <row r="14" spans="1:8" ht="18.600000000000001" customHeight="1" x14ac:dyDescent="0.2">
      <c r="A14" s="6" t="s">
        <v>95</v>
      </c>
      <c r="B14" s="4" t="s">
        <v>243</v>
      </c>
      <c r="C14" s="234">
        <v>1</v>
      </c>
      <c r="D14" s="14"/>
      <c r="E14" s="78"/>
      <c r="F14" s="12"/>
      <c r="G14" s="40"/>
      <c r="H14" s="39"/>
    </row>
    <row r="15" spans="1:8" ht="18.600000000000001" customHeight="1" x14ac:dyDescent="0.2">
      <c r="A15" s="13"/>
      <c r="B15" s="12"/>
      <c r="C15" s="14"/>
      <c r="D15" s="14"/>
      <c r="E15" s="78"/>
      <c r="F15" s="12"/>
      <c r="G15" s="40"/>
      <c r="H15" s="39"/>
    </row>
    <row r="16" spans="1:8" ht="15.75" x14ac:dyDescent="0.2">
      <c r="A16" s="6" t="s">
        <v>97</v>
      </c>
      <c r="B16" s="4" t="s">
        <v>96</v>
      </c>
      <c r="C16" s="234">
        <v>1</v>
      </c>
      <c r="D16" s="14"/>
      <c r="E16" s="78"/>
      <c r="F16" s="12"/>
      <c r="G16" s="40"/>
      <c r="H16" s="39"/>
    </row>
    <row r="17" spans="1:8" ht="18.600000000000001" customHeight="1" x14ac:dyDescent="0.2">
      <c r="A17" s="13"/>
      <c r="B17" s="12"/>
      <c r="C17" s="14"/>
      <c r="D17" s="236"/>
      <c r="E17" s="78"/>
      <c r="F17" s="12"/>
      <c r="G17" s="40"/>
      <c r="H17" s="39"/>
    </row>
    <row r="18" spans="1:8" ht="18.600000000000001" customHeight="1" x14ac:dyDescent="0.2">
      <c r="A18" s="73" t="s">
        <v>98</v>
      </c>
      <c r="B18" s="4" t="s">
        <v>99</v>
      </c>
      <c r="C18" s="234">
        <v>10</v>
      </c>
      <c r="D18" s="14"/>
      <c r="E18" s="78"/>
      <c r="F18" s="12"/>
      <c r="G18" s="40"/>
      <c r="H18" s="39"/>
    </row>
    <row r="19" spans="1:8" ht="18.600000000000001" customHeight="1" x14ac:dyDescent="0.2">
      <c r="A19" s="73" t="s">
        <v>98</v>
      </c>
      <c r="B19" s="4" t="s">
        <v>251</v>
      </c>
      <c r="C19" s="234">
        <v>1</v>
      </c>
      <c r="D19" s="14"/>
      <c r="E19" s="78"/>
      <c r="F19" s="12"/>
      <c r="G19" s="40"/>
      <c r="H19" s="39"/>
    </row>
    <row r="20" spans="1:8" ht="21.6" customHeight="1" x14ac:dyDescent="0.2">
      <c r="A20" s="73" t="s">
        <v>98</v>
      </c>
      <c r="B20" s="4" t="s">
        <v>244</v>
      </c>
      <c r="C20" s="234">
        <v>1</v>
      </c>
      <c r="D20" s="14"/>
      <c r="E20" s="78"/>
      <c r="F20" s="12"/>
      <c r="G20" s="40"/>
      <c r="H20" s="39"/>
    </row>
    <row r="21" spans="1:8" ht="18.600000000000001" customHeight="1" x14ac:dyDescent="0.2">
      <c r="A21" s="13"/>
      <c r="B21" s="12"/>
      <c r="C21" s="14"/>
      <c r="D21" s="14"/>
      <c r="E21" s="78"/>
      <c r="F21" s="12"/>
      <c r="G21" s="40"/>
      <c r="H21" s="39"/>
    </row>
    <row r="22" spans="1:8" ht="18.600000000000001" customHeight="1" x14ac:dyDescent="0.2">
      <c r="A22" s="6" t="s">
        <v>100</v>
      </c>
      <c r="B22" s="4" t="s">
        <v>101</v>
      </c>
      <c r="C22" s="234">
        <v>4</v>
      </c>
      <c r="D22" s="14"/>
      <c r="E22" s="78"/>
      <c r="F22" s="12"/>
      <c r="G22" s="40"/>
      <c r="H22" s="39"/>
    </row>
    <row r="23" spans="1:8" ht="21.6" customHeight="1" x14ac:dyDescent="0.2">
      <c r="A23" s="6"/>
      <c r="B23" s="4"/>
      <c r="C23" s="23"/>
      <c r="D23" s="14"/>
      <c r="E23" s="34"/>
      <c r="F23" s="12"/>
      <c r="G23" s="1"/>
      <c r="H23" s="39"/>
    </row>
    <row r="24" spans="1:8" ht="15.75" x14ac:dyDescent="0.2">
      <c r="A24" s="6" t="s">
        <v>102</v>
      </c>
      <c r="B24" s="4" t="s">
        <v>103</v>
      </c>
      <c r="C24" s="234">
        <v>2</v>
      </c>
      <c r="D24" s="14"/>
      <c r="E24" s="34"/>
      <c r="F24" s="12"/>
      <c r="G24" s="1"/>
      <c r="H24" s="39"/>
    </row>
    <row r="25" spans="1:8" ht="15.75" x14ac:dyDescent="0.2">
      <c r="A25" s="6" t="s">
        <v>104</v>
      </c>
      <c r="B25" s="4" t="s">
        <v>105</v>
      </c>
      <c r="C25" s="234">
        <v>2</v>
      </c>
      <c r="D25" s="237"/>
      <c r="E25" s="34"/>
      <c r="F25" s="12"/>
      <c r="G25" s="1"/>
      <c r="H25" s="39"/>
    </row>
    <row r="26" spans="1:8" ht="15.75" x14ac:dyDescent="0.2">
      <c r="A26" s="6"/>
      <c r="B26" s="4"/>
      <c r="C26" s="23"/>
      <c r="D26" s="14"/>
      <c r="E26" s="34"/>
      <c r="F26" s="12"/>
      <c r="G26" s="1"/>
      <c r="H26" s="39"/>
    </row>
    <row r="27" spans="1:8" ht="15.75" x14ac:dyDescent="0.2">
      <c r="A27" s="6" t="s">
        <v>133</v>
      </c>
      <c r="B27" s="4" t="s">
        <v>96</v>
      </c>
      <c r="C27" s="234">
        <v>1</v>
      </c>
      <c r="D27" s="14"/>
      <c r="E27" s="78"/>
      <c r="F27" s="12"/>
      <c r="G27" s="1"/>
      <c r="H27" s="39"/>
    </row>
    <row r="28" spans="1:8" ht="15.75" x14ac:dyDescent="0.2">
      <c r="A28" s="13"/>
      <c r="B28" s="12"/>
      <c r="C28" s="14"/>
      <c r="D28" s="14"/>
      <c r="E28" s="34"/>
      <c r="F28" s="12"/>
      <c r="G28" s="1"/>
      <c r="H28" s="39"/>
    </row>
    <row r="29" spans="1:8" ht="15.75" x14ac:dyDescent="0.2">
      <c r="A29" s="73" t="s">
        <v>134</v>
      </c>
      <c r="B29" s="4" t="s">
        <v>99</v>
      </c>
      <c r="C29" s="234">
        <v>2</v>
      </c>
      <c r="D29" s="238"/>
      <c r="E29" s="17"/>
      <c r="F29" s="12"/>
      <c r="G29" s="1"/>
      <c r="H29" s="39"/>
    </row>
    <row r="30" spans="1:8" ht="16.5" thickBot="1" x14ac:dyDescent="0.25">
      <c r="A30" s="73" t="s">
        <v>134</v>
      </c>
      <c r="B30" s="4" t="s">
        <v>226</v>
      </c>
      <c r="C30" s="235">
        <v>2</v>
      </c>
      <c r="D30" s="238"/>
      <c r="E30" s="17"/>
      <c r="F30" s="16"/>
      <c r="G30" s="1"/>
      <c r="H30" s="39"/>
    </row>
    <row r="31" spans="1:8" ht="16.5" thickBot="1" x14ac:dyDescent="0.25">
      <c r="A31" s="252" t="s">
        <v>68</v>
      </c>
      <c r="B31" s="253"/>
      <c r="C31" s="254" t="s">
        <v>106</v>
      </c>
      <c r="D31" s="255"/>
      <c r="E31" s="52" t="s">
        <v>69</v>
      </c>
      <c r="F31" s="53"/>
      <c r="G31" s="1"/>
      <c r="H31" s="39"/>
    </row>
    <row r="32" spans="1:8" ht="32.25" thickBot="1" x14ac:dyDescent="0.25">
      <c r="A32" s="21" t="s">
        <v>40</v>
      </c>
      <c r="B32" s="22" t="s">
        <v>48</v>
      </c>
      <c r="C32" s="22" t="s">
        <v>0</v>
      </c>
      <c r="D32" s="22" t="s">
        <v>55</v>
      </c>
      <c r="E32" s="35"/>
      <c r="F32" s="22" t="s">
        <v>71</v>
      </c>
      <c r="G32" s="42"/>
      <c r="H32" s="39"/>
    </row>
    <row r="33" spans="1:8" ht="15.75" x14ac:dyDescent="0.2">
      <c r="A33" s="6" t="s">
        <v>107</v>
      </c>
      <c r="B33" s="4" t="s">
        <v>108</v>
      </c>
      <c r="C33" s="234">
        <v>4</v>
      </c>
      <c r="D33" s="240"/>
      <c r="E33" s="241"/>
      <c r="F33" s="205"/>
      <c r="G33" s="10"/>
      <c r="H33" s="43">
        <f>G33*C33</f>
        <v>0</v>
      </c>
    </row>
    <row r="34" spans="1:8" ht="15.75" x14ac:dyDescent="0.2">
      <c r="A34" s="74"/>
      <c r="B34" s="24"/>
      <c r="C34" s="10"/>
      <c r="D34" s="240"/>
      <c r="E34" s="241"/>
      <c r="F34" s="205"/>
      <c r="G34" s="12"/>
      <c r="H34" s="43">
        <f t="shared" ref="H34:H98" si="0">G34*C34</f>
        <v>0</v>
      </c>
    </row>
    <row r="35" spans="1:8" ht="15.75" x14ac:dyDescent="0.2">
      <c r="A35" s="6" t="s">
        <v>59</v>
      </c>
      <c r="B35" s="4" t="s">
        <v>52</v>
      </c>
      <c r="C35" s="239">
        <v>3</v>
      </c>
      <c r="D35" s="242"/>
      <c r="E35" s="241"/>
      <c r="F35" s="205"/>
      <c r="G35" s="10"/>
      <c r="H35" s="43">
        <f t="shared" si="0"/>
        <v>0</v>
      </c>
    </row>
    <row r="36" spans="1:8" ht="15.75" x14ac:dyDescent="0.2">
      <c r="A36" s="6"/>
      <c r="B36" s="48"/>
      <c r="C36" s="14"/>
      <c r="D36" s="240"/>
      <c r="E36" s="241"/>
      <c r="F36" s="205"/>
      <c r="G36" s="10"/>
      <c r="H36" s="43"/>
    </row>
    <row r="37" spans="1:8" ht="15.75" x14ac:dyDescent="0.2">
      <c r="A37" s="6" t="s">
        <v>110</v>
      </c>
      <c r="B37" s="48" t="s">
        <v>109</v>
      </c>
      <c r="C37" s="234">
        <v>8</v>
      </c>
      <c r="D37" s="240"/>
      <c r="E37" s="241"/>
      <c r="F37" s="205"/>
      <c r="G37" s="10"/>
      <c r="H37" s="43"/>
    </row>
    <row r="38" spans="1:8" ht="15.75" x14ac:dyDescent="0.2">
      <c r="A38" s="6" t="s">
        <v>111</v>
      </c>
      <c r="B38" s="48" t="s">
        <v>109</v>
      </c>
      <c r="C38" s="234">
        <v>9</v>
      </c>
      <c r="D38" s="240"/>
      <c r="E38" s="241"/>
      <c r="F38" s="205"/>
      <c r="G38" s="10"/>
      <c r="H38" s="43"/>
    </row>
    <row r="39" spans="1:8" ht="15.75" x14ac:dyDescent="0.2">
      <c r="A39" s="6" t="s">
        <v>112</v>
      </c>
      <c r="B39" s="48" t="s">
        <v>113</v>
      </c>
      <c r="C39" s="234">
        <v>9</v>
      </c>
      <c r="D39" s="240"/>
      <c r="E39" s="241"/>
      <c r="F39" s="205"/>
      <c r="G39" s="10"/>
      <c r="H39" s="43"/>
    </row>
    <row r="40" spans="1:8" ht="21.6" customHeight="1" x14ac:dyDescent="0.2">
      <c r="A40" s="6" t="s">
        <v>114</v>
      </c>
      <c r="B40" s="48" t="s">
        <v>115</v>
      </c>
      <c r="C40" s="234">
        <v>2</v>
      </c>
      <c r="D40" s="240"/>
      <c r="E40" s="241"/>
      <c r="F40" s="205"/>
      <c r="G40" s="10"/>
      <c r="H40" s="43"/>
    </row>
    <row r="41" spans="1:8" ht="15.75" x14ac:dyDescent="0.2">
      <c r="A41" s="6" t="s">
        <v>116</v>
      </c>
      <c r="B41" s="48" t="s">
        <v>115</v>
      </c>
      <c r="C41" s="234">
        <v>3</v>
      </c>
      <c r="D41" s="240"/>
      <c r="E41" s="241"/>
      <c r="F41" s="205"/>
      <c r="G41" s="10"/>
      <c r="H41" s="43"/>
    </row>
    <row r="42" spans="1:8" ht="15.75" x14ac:dyDescent="0.2">
      <c r="A42" s="6" t="s">
        <v>117</v>
      </c>
      <c r="B42" s="48" t="s">
        <v>113</v>
      </c>
      <c r="C42" s="234">
        <v>3</v>
      </c>
      <c r="D42" s="240"/>
      <c r="E42" s="241"/>
      <c r="F42" s="205"/>
      <c r="G42" s="10"/>
      <c r="H42" s="43"/>
    </row>
    <row r="43" spans="1:8" ht="15.75" x14ac:dyDescent="0.2">
      <c r="A43" s="6"/>
      <c r="B43" s="4"/>
      <c r="C43" s="23"/>
      <c r="D43" s="240"/>
      <c r="E43" s="241"/>
      <c r="F43" s="205"/>
      <c r="G43" s="10"/>
      <c r="H43" s="43"/>
    </row>
    <row r="44" spans="1:8" ht="15.75" x14ac:dyDescent="0.2">
      <c r="A44" s="6" t="s">
        <v>118</v>
      </c>
      <c r="B44" s="5" t="s">
        <v>119</v>
      </c>
      <c r="C44" s="234">
        <v>2</v>
      </c>
      <c r="D44" s="240"/>
      <c r="E44" s="241"/>
      <c r="F44" s="205"/>
      <c r="G44" s="10"/>
      <c r="H44" s="43"/>
    </row>
    <row r="45" spans="1:8" ht="15.75" x14ac:dyDescent="0.2">
      <c r="A45" s="6"/>
      <c r="B45" s="4"/>
      <c r="C45" s="23"/>
      <c r="D45" s="240"/>
      <c r="E45" s="241"/>
      <c r="F45" s="205"/>
      <c r="G45" s="10"/>
      <c r="H45" s="43"/>
    </row>
    <row r="46" spans="1:8" ht="15.75" x14ac:dyDescent="0.2">
      <c r="A46" s="6" t="s">
        <v>120</v>
      </c>
      <c r="B46" s="5" t="s">
        <v>121</v>
      </c>
      <c r="C46" s="234">
        <v>6</v>
      </c>
      <c r="D46" s="240"/>
      <c r="E46" s="241"/>
      <c r="F46" s="205"/>
      <c r="G46" s="10"/>
      <c r="H46" s="43"/>
    </row>
    <row r="47" spans="1:8" ht="15.75" x14ac:dyDescent="0.2">
      <c r="A47" s="6" t="s">
        <v>122</v>
      </c>
      <c r="B47" s="4" t="s">
        <v>52</v>
      </c>
      <c r="C47" s="234">
        <v>8</v>
      </c>
      <c r="D47" s="240"/>
      <c r="E47" s="241"/>
      <c r="F47" s="205"/>
      <c r="G47" s="10"/>
      <c r="H47" s="43"/>
    </row>
    <row r="48" spans="1:8" ht="15.75" x14ac:dyDescent="0.2">
      <c r="A48" s="6"/>
      <c r="B48" s="4"/>
      <c r="C48" s="23"/>
      <c r="D48" s="240"/>
      <c r="E48" s="241"/>
      <c r="F48" s="205"/>
      <c r="G48" s="10"/>
      <c r="H48" s="43"/>
    </row>
    <row r="49" spans="1:8" ht="15.75" x14ac:dyDescent="0.2">
      <c r="A49" s="73" t="s">
        <v>60</v>
      </c>
      <c r="B49" s="5" t="s">
        <v>61</v>
      </c>
      <c r="C49" s="234">
        <v>16</v>
      </c>
      <c r="D49" s="240"/>
      <c r="E49" s="241"/>
      <c r="F49" s="205"/>
      <c r="G49" s="10"/>
      <c r="H49" s="43"/>
    </row>
    <row r="50" spans="1:8" ht="15.75" x14ac:dyDescent="0.2">
      <c r="A50" s="6"/>
      <c r="B50" s="4"/>
      <c r="C50" s="23"/>
      <c r="D50" s="240"/>
      <c r="E50" s="241"/>
      <c r="F50" s="205"/>
      <c r="G50" s="10"/>
      <c r="H50" s="43"/>
    </row>
    <row r="51" spans="1:8" ht="20.45" customHeight="1" x14ac:dyDescent="0.2">
      <c r="A51" s="6" t="s">
        <v>62</v>
      </c>
      <c r="B51" s="5" t="s">
        <v>57</v>
      </c>
      <c r="C51" s="234">
        <v>7</v>
      </c>
      <c r="D51" s="243"/>
      <c r="E51" s="241"/>
      <c r="F51" s="205"/>
      <c r="G51" s="10"/>
      <c r="H51" s="43"/>
    </row>
    <row r="52" spans="1:8" ht="20.45" customHeight="1" x14ac:dyDescent="0.2">
      <c r="A52" s="6" t="s">
        <v>227</v>
      </c>
      <c r="B52" s="5" t="s">
        <v>201</v>
      </c>
      <c r="C52" s="234">
        <v>8</v>
      </c>
      <c r="D52" s="243"/>
      <c r="E52" s="241"/>
      <c r="F52" s="205"/>
      <c r="G52" s="10"/>
      <c r="H52" s="43"/>
    </row>
    <row r="53" spans="1:8" ht="16.149999999999999" customHeight="1" x14ac:dyDescent="0.2">
      <c r="A53" s="6"/>
      <c r="B53" s="5"/>
      <c r="C53" s="23"/>
      <c r="D53" s="243"/>
      <c r="E53" s="241"/>
      <c r="F53" s="205"/>
      <c r="G53" s="10"/>
      <c r="H53" s="43"/>
    </row>
    <row r="54" spans="1:8" ht="16.149999999999999" customHeight="1" x14ac:dyDescent="0.2">
      <c r="A54" s="6" t="s">
        <v>228</v>
      </c>
      <c r="B54" s="5" t="s">
        <v>201</v>
      </c>
      <c r="C54" s="234">
        <v>8</v>
      </c>
      <c r="D54" s="243"/>
      <c r="E54" s="241"/>
      <c r="F54" s="205"/>
      <c r="G54" s="10"/>
      <c r="H54" s="43"/>
    </row>
    <row r="55" spans="1:8" ht="16.149999999999999" customHeight="1" x14ac:dyDescent="0.2">
      <c r="A55" s="6"/>
      <c r="B55" s="5"/>
      <c r="C55" s="23"/>
      <c r="D55" s="243"/>
      <c r="E55" s="241"/>
      <c r="F55" s="205"/>
      <c r="G55" s="10"/>
      <c r="H55" s="43"/>
    </row>
    <row r="56" spans="1:8" ht="15.75" x14ac:dyDescent="0.2">
      <c r="A56" s="6" t="s">
        <v>123</v>
      </c>
      <c r="B56" s="12" t="s">
        <v>52</v>
      </c>
      <c r="C56" s="239">
        <v>7</v>
      </c>
      <c r="D56" s="243"/>
      <c r="E56" s="241"/>
      <c r="F56" s="205"/>
      <c r="G56" s="10"/>
      <c r="H56" s="43"/>
    </row>
    <row r="57" spans="1:8" ht="15.75" x14ac:dyDescent="0.2">
      <c r="A57" s="6" t="s">
        <v>124</v>
      </c>
      <c r="B57" s="12" t="s">
        <v>11</v>
      </c>
      <c r="C57" s="239">
        <v>8</v>
      </c>
      <c r="D57" s="243"/>
      <c r="E57" s="241"/>
      <c r="F57" s="205"/>
      <c r="G57" s="10"/>
      <c r="H57" s="43"/>
    </row>
    <row r="58" spans="1:8" ht="21.6" customHeight="1" x14ac:dyDescent="0.2">
      <c r="A58" s="6" t="s">
        <v>125</v>
      </c>
      <c r="B58" s="12" t="s">
        <v>0</v>
      </c>
      <c r="C58" s="239">
        <v>3</v>
      </c>
      <c r="D58" s="243"/>
      <c r="E58" s="241"/>
      <c r="F58" s="205"/>
      <c r="G58" s="10"/>
      <c r="H58" s="43"/>
    </row>
    <row r="59" spans="1:8" ht="15.75" x14ac:dyDescent="0.2">
      <c r="A59" s="6" t="s">
        <v>126</v>
      </c>
      <c r="B59" s="12" t="s">
        <v>63</v>
      </c>
      <c r="C59" s="234">
        <v>6</v>
      </c>
      <c r="D59" s="243"/>
      <c r="E59" s="241"/>
      <c r="F59" s="205"/>
      <c r="G59" s="10"/>
      <c r="H59" s="43"/>
    </row>
    <row r="60" spans="1:8" ht="15.75" x14ac:dyDescent="0.2">
      <c r="A60" s="6"/>
      <c r="B60" s="5"/>
      <c r="C60" s="23"/>
      <c r="D60" s="243"/>
      <c r="E60" s="241"/>
      <c r="F60" s="205"/>
      <c r="G60" s="10"/>
      <c r="H60" s="43"/>
    </row>
    <row r="61" spans="1:8" ht="15.75" x14ac:dyDescent="0.2">
      <c r="A61" s="6" t="s">
        <v>127</v>
      </c>
      <c r="B61" s="5" t="s">
        <v>128</v>
      </c>
      <c r="C61" s="234">
        <v>9</v>
      </c>
      <c r="D61" s="243"/>
      <c r="E61" s="241"/>
      <c r="F61" s="205"/>
      <c r="G61" s="10"/>
      <c r="H61" s="43"/>
    </row>
    <row r="62" spans="1:8" ht="18" customHeight="1" thickBot="1" x14ac:dyDescent="0.25">
      <c r="A62" s="6" t="s">
        <v>129</v>
      </c>
      <c r="B62" s="5" t="s">
        <v>200</v>
      </c>
      <c r="C62" s="234">
        <v>9</v>
      </c>
      <c r="D62" s="243"/>
      <c r="E62" s="241"/>
      <c r="F62" s="205"/>
      <c r="G62" s="10"/>
      <c r="H62" s="43"/>
    </row>
    <row r="63" spans="1:8" ht="16.5" thickBot="1" x14ac:dyDescent="0.25">
      <c r="A63" s="252" t="s">
        <v>68</v>
      </c>
      <c r="B63" s="253"/>
      <c r="C63" s="254" t="s">
        <v>72</v>
      </c>
      <c r="D63" s="255"/>
      <c r="E63" s="52" t="s">
        <v>69</v>
      </c>
      <c r="F63" s="53"/>
      <c r="G63" s="51"/>
      <c r="H63" s="43"/>
    </row>
    <row r="64" spans="1:8" ht="30" customHeight="1" thickBot="1" x14ac:dyDescent="0.25">
      <c r="A64" s="21" t="s">
        <v>84</v>
      </c>
      <c r="B64" s="22" t="s">
        <v>38</v>
      </c>
      <c r="C64" s="22" t="s">
        <v>0</v>
      </c>
      <c r="D64" s="22" t="s">
        <v>44</v>
      </c>
      <c r="E64" s="35" t="s">
        <v>45</v>
      </c>
      <c r="F64" s="22" t="s">
        <v>71</v>
      </c>
      <c r="G64" s="10"/>
      <c r="H64" s="43"/>
    </row>
    <row r="65" spans="1:8" ht="15.75" x14ac:dyDescent="0.2">
      <c r="A65" s="6" t="s">
        <v>130</v>
      </c>
      <c r="B65" s="81" t="s">
        <v>245</v>
      </c>
      <c r="C65" s="239">
        <v>35</v>
      </c>
      <c r="D65" s="244"/>
      <c r="E65" s="82"/>
      <c r="F65" s="204"/>
      <c r="G65" s="10"/>
      <c r="H65" s="43"/>
    </row>
    <row r="66" spans="1:8" ht="15.75" x14ac:dyDescent="0.2">
      <c r="A66" s="6"/>
      <c r="B66" s="81"/>
      <c r="C66" s="12"/>
      <c r="D66" s="13"/>
      <c r="E66" s="82"/>
      <c r="F66" s="83"/>
      <c r="G66" s="10"/>
      <c r="H66" s="43"/>
    </row>
    <row r="67" spans="1:8" ht="21.6" customHeight="1" thickBot="1" x14ac:dyDescent="0.25">
      <c r="A67" s="6" t="s">
        <v>229</v>
      </c>
      <c r="B67" s="81" t="s">
        <v>230</v>
      </c>
      <c r="C67" s="239">
        <v>7</v>
      </c>
      <c r="D67" s="244" t="s">
        <v>231</v>
      </c>
      <c r="E67" s="83"/>
      <c r="F67" s="203"/>
      <c r="G67" s="10"/>
      <c r="H67" s="43"/>
    </row>
    <row r="68" spans="1:8" ht="16.5" thickBot="1" x14ac:dyDescent="0.25">
      <c r="A68" s="252" t="s">
        <v>68</v>
      </c>
      <c r="B68" s="253"/>
      <c r="C68" s="254" t="s">
        <v>72</v>
      </c>
      <c r="D68" s="255"/>
      <c r="E68" s="52" t="s">
        <v>69</v>
      </c>
      <c r="F68" s="53"/>
      <c r="G68" s="51"/>
      <c r="H68" s="43"/>
    </row>
    <row r="69" spans="1:8" ht="15.75" customHeight="1" thickBot="1" x14ac:dyDescent="0.25">
      <c r="A69" s="21" t="s">
        <v>43</v>
      </c>
      <c r="B69" s="22" t="s">
        <v>38</v>
      </c>
      <c r="C69" s="22" t="s">
        <v>0</v>
      </c>
      <c r="D69" s="22" t="s">
        <v>44</v>
      </c>
      <c r="E69" s="35" t="s">
        <v>45</v>
      </c>
      <c r="F69" s="22" t="s">
        <v>71</v>
      </c>
      <c r="G69" s="42"/>
      <c r="H69" s="43"/>
    </row>
    <row r="70" spans="1:8" ht="15.75" customHeight="1" x14ac:dyDescent="0.2">
      <c r="A70" s="13" t="s">
        <v>232</v>
      </c>
      <c r="B70" s="12" t="s">
        <v>235</v>
      </c>
      <c r="C70" s="239">
        <v>17</v>
      </c>
      <c r="D70" s="14"/>
      <c r="E70" s="12"/>
      <c r="F70" s="194"/>
      <c r="G70" s="12"/>
      <c r="H70" s="43"/>
    </row>
    <row r="71" spans="1:8" ht="15.75" customHeight="1" x14ac:dyDescent="0.2">
      <c r="A71" s="13" t="s">
        <v>233</v>
      </c>
      <c r="B71" s="12" t="s">
        <v>86</v>
      </c>
      <c r="C71" s="239">
        <v>4</v>
      </c>
      <c r="D71" s="14"/>
      <c r="E71" s="12"/>
      <c r="F71" s="194"/>
      <c r="G71" s="12"/>
      <c r="H71" s="43"/>
    </row>
    <row r="72" spans="1:8" ht="15.75" customHeight="1" x14ac:dyDescent="0.2">
      <c r="A72" s="13" t="s">
        <v>234</v>
      </c>
      <c r="B72" s="12" t="s">
        <v>198</v>
      </c>
      <c r="C72" s="239">
        <v>7</v>
      </c>
      <c r="D72" s="14"/>
      <c r="E72" s="12"/>
      <c r="F72" s="194"/>
      <c r="G72" s="12"/>
      <c r="H72" s="43"/>
    </row>
    <row r="73" spans="1:8" ht="15.75" customHeight="1" x14ac:dyDescent="0.2">
      <c r="A73" s="13"/>
      <c r="B73" s="12"/>
      <c r="C73" s="14"/>
      <c r="D73" s="14"/>
      <c r="E73" s="12"/>
      <c r="F73" s="194"/>
      <c r="G73" s="12"/>
      <c r="H73" s="43"/>
    </row>
    <row r="74" spans="1:8" ht="15.75" customHeight="1" thickBot="1" x14ac:dyDescent="0.25">
      <c r="A74" s="13" t="s">
        <v>28</v>
      </c>
      <c r="B74" s="12" t="s">
        <v>29</v>
      </c>
      <c r="C74" s="239">
        <v>7</v>
      </c>
      <c r="D74" s="14"/>
      <c r="E74" s="12"/>
      <c r="F74" s="198"/>
      <c r="G74" s="12"/>
      <c r="H74" s="43"/>
    </row>
    <row r="75" spans="1:8" ht="16.149999999999999" customHeight="1" thickBot="1" x14ac:dyDescent="0.25">
      <c r="A75" s="252" t="s">
        <v>68</v>
      </c>
      <c r="B75" s="253"/>
      <c r="C75" s="254" t="s">
        <v>73</v>
      </c>
      <c r="D75" s="255"/>
      <c r="E75" s="52" t="s">
        <v>69</v>
      </c>
      <c r="F75" s="55"/>
      <c r="G75" s="56"/>
      <c r="H75" s="43" t="e">
        <f t="shared" si="0"/>
        <v>#VALUE!</v>
      </c>
    </row>
    <row r="76" spans="1:8" ht="32.25" thickBot="1" x14ac:dyDescent="0.25">
      <c r="A76" s="21" t="s">
        <v>78</v>
      </c>
      <c r="B76" s="22" t="s">
        <v>38</v>
      </c>
      <c r="C76" s="22" t="s">
        <v>0</v>
      </c>
      <c r="D76" s="22" t="s">
        <v>44</v>
      </c>
      <c r="E76" s="35" t="s">
        <v>45</v>
      </c>
      <c r="F76" s="22" t="s">
        <v>71</v>
      </c>
      <c r="G76" s="56"/>
      <c r="H76" s="43"/>
    </row>
    <row r="77" spans="1:8" ht="16.149999999999999" customHeight="1" x14ac:dyDescent="0.2">
      <c r="A77" s="44" t="s">
        <v>236</v>
      </c>
      <c r="B77" s="12" t="s">
        <v>13</v>
      </c>
      <c r="C77" s="239">
        <v>18</v>
      </c>
      <c r="D77" s="14">
        <v>46.47</v>
      </c>
      <c r="E77" s="33"/>
      <c r="F77" s="198"/>
      <c r="G77" s="56"/>
      <c r="H77" s="43"/>
    </row>
    <row r="78" spans="1:8" ht="16.899999999999999" customHeight="1" thickBot="1" x14ac:dyDescent="0.25">
      <c r="A78" s="44" t="s">
        <v>237</v>
      </c>
      <c r="B78" s="12" t="s">
        <v>13</v>
      </c>
      <c r="C78" s="239">
        <v>3</v>
      </c>
      <c r="D78" s="14">
        <v>7</v>
      </c>
      <c r="E78" s="33"/>
      <c r="F78" s="198"/>
      <c r="G78" s="56"/>
      <c r="H78" s="43"/>
    </row>
    <row r="79" spans="1:8" ht="40.9" customHeight="1" thickBot="1" x14ac:dyDescent="0.25">
      <c r="A79" s="252" t="s">
        <v>68</v>
      </c>
      <c r="B79" s="253"/>
      <c r="C79" s="254" t="s">
        <v>73</v>
      </c>
      <c r="D79" s="255"/>
      <c r="E79" s="52" t="s">
        <v>69</v>
      </c>
      <c r="F79" s="55"/>
      <c r="G79" s="56"/>
      <c r="H79" s="43"/>
    </row>
    <row r="80" spans="1:8" ht="32.25" thickBot="1" x14ac:dyDescent="0.25">
      <c r="A80" s="21" t="s">
        <v>46</v>
      </c>
      <c r="B80" s="22" t="s">
        <v>38</v>
      </c>
      <c r="C80" s="22" t="s">
        <v>0</v>
      </c>
      <c r="D80" s="22" t="s">
        <v>55</v>
      </c>
      <c r="E80" s="35"/>
      <c r="F80" s="22" t="s">
        <v>71</v>
      </c>
      <c r="G80" s="42"/>
      <c r="H80" s="43"/>
    </row>
    <row r="81" spans="1:11" ht="15.75" x14ac:dyDescent="0.2">
      <c r="A81" s="6" t="s">
        <v>238</v>
      </c>
      <c r="B81" s="11" t="s">
        <v>240</v>
      </c>
      <c r="C81" s="245">
        <v>2</v>
      </c>
      <c r="D81" s="23">
        <v>16.329999999999998</v>
      </c>
      <c r="E81" s="33"/>
      <c r="F81" s="198"/>
      <c r="G81" s="12"/>
      <c r="H81" s="43">
        <f t="shared" si="0"/>
        <v>0</v>
      </c>
    </row>
    <row r="82" spans="1:11" ht="15.75" x14ac:dyDescent="0.2">
      <c r="A82" s="13" t="s">
        <v>25</v>
      </c>
      <c r="B82" s="11" t="s">
        <v>0</v>
      </c>
      <c r="C82" s="234">
        <v>4</v>
      </c>
      <c r="D82" s="23"/>
      <c r="E82" s="33"/>
      <c r="F82" s="198"/>
      <c r="G82" s="12"/>
      <c r="H82" s="43">
        <f t="shared" si="0"/>
        <v>0</v>
      </c>
    </row>
    <row r="83" spans="1:11" s="9" customFormat="1" ht="15.75" x14ac:dyDescent="0.2">
      <c r="A83" s="13" t="s">
        <v>26</v>
      </c>
      <c r="B83" s="11" t="s">
        <v>0</v>
      </c>
      <c r="C83" s="234">
        <v>4</v>
      </c>
      <c r="D83" s="23"/>
      <c r="E83" s="33"/>
      <c r="F83" s="198"/>
      <c r="G83" s="12"/>
      <c r="H83" s="43">
        <f t="shared" si="0"/>
        <v>0</v>
      </c>
      <c r="I83" s="3"/>
      <c r="J83" s="3"/>
      <c r="K83" s="3"/>
    </row>
    <row r="84" spans="1:11" s="9" customFormat="1" ht="15.75" x14ac:dyDescent="0.2">
      <c r="A84" s="13" t="s">
        <v>242</v>
      </c>
      <c r="B84" s="11" t="s">
        <v>241</v>
      </c>
      <c r="C84" s="239">
        <v>4</v>
      </c>
      <c r="D84" s="14"/>
      <c r="E84" s="33"/>
      <c r="F84" s="198"/>
      <c r="G84" s="12"/>
      <c r="H84" s="43">
        <f t="shared" si="0"/>
        <v>0</v>
      </c>
      <c r="I84" s="3"/>
      <c r="J84" s="3"/>
      <c r="K84" s="3"/>
    </row>
    <row r="85" spans="1:11" ht="15.75" x14ac:dyDescent="0.2">
      <c r="A85" s="13" t="s">
        <v>66</v>
      </c>
      <c r="B85" s="11" t="s">
        <v>0</v>
      </c>
      <c r="C85" s="234">
        <v>8</v>
      </c>
      <c r="D85" s="23"/>
      <c r="E85" s="33"/>
      <c r="F85" s="198"/>
      <c r="G85" s="12"/>
      <c r="H85" s="43">
        <f t="shared" si="0"/>
        <v>0</v>
      </c>
    </row>
    <row r="86" spans="1:11" ht="15.75" x14ac:dyDescent="0.2">
      <c r="A86" s="13" t="s">
        <v>67</v>
      </c>
      <c r="B86" s="11" t="s">
        <v>0</v>
      </c>
      <c r="C86" s="234">
        <v>4</v>
      </c>
      <c r="D86" s="23"/>
      <c r="E86" s="33"/>
      <c r="F86" s="198"/>
      <c r="G86" s="12"/>
      <c r="H86" s="43"/>
    </row>
    <row r="87" spans="1:11" ht="15.75" x14ac:dyDescent="0.2">
      <c r="A87" s="13" t="s">
        <v>214</v>
      </c>
      <c r="B87" s="11" t="s">
        <v>0</v>
      </c>
      <c r="C87" s="234">
        <v>8</v>
      </c>
      <c r="D87" s="23"/>
      <c r="E87" s="33"/>
      <c r="F87" s="198"/>
      <c r="G87" s="12"/>
      <c r="H87" s="43">
        <f t="shared" si="0"/>
        <v>0</v>
      </c>
    </row>
    <row r="88" spans="1:11" ht="16.5" thickBot="1" x14ac:dyDescent="0.25">
      <c r="A88" s="79" t="s">
        <v>30</v>
      </c>
      <c r="B88" s="50" t="s">
        <v>0</v>
      </c>
      <c r="C88" s="235">
        <v>50</v>
      </c>
      <c r="D88" s="246"/>
      <c r="E88" s="33"/>
      <c r="F88" s="202"/>
      <c r="G88" s="12"/>
      <c r="H88" s="43">
        <f t="shared" si="0"/>
        <v>0</v>
      </c>
    </row>
    <row r="89" spans="1:11" ht="16.5" thickBot="1" x14ac:dyDescent="0.25">
      <c r="A89" s="252" t="s">
        <v>68</v>
      </c>
      <c r="B89" s="253"/>
      <c r="C89" s="254" t="s">
        <v>74</v>
      </c>
      <c r="D89" s="255"/>
      <c r="E89" s="52" t="s">
        <v>69</v>
      </c>
      <c r="F89" s="55"/>
      <c r="G89" s="56"/>
      <c r="H89" s="45" t="e">
        <f t="shared" si="0"/>
        <v>#VALUE!</v>
      </c>
    </row>
    <row r="90" spans="1:11" s="9" customFormat="1" ht="16.149999999999999" customHeight="1" thickBot="1" x14ac:dyDescent="0.25">
      <c r="A90" s="21" t="s">
        <v>22</v>
      </c>
      <c r="B90" s="22" t="s">
        <v>38</v>
      </c>
      <c r="C90" s="22" t="s">
        <v>0</v>
      </c>
      <c r="D90" s="22"/>
      <c r="E90" s="35"/>
      <c r="F90" s="22" t="s">
        <v>71</v>
      </c>
      <c r="G90" s="42"/>
      <c r="H90" s="43"/>
      <c r="I90" s="3"/>
      <c r="J90" s="3"/>
      <c r="K90" s="3"/>
    </row>
    <row r="91" spans="1:11" ht="15.75" x14ac:dyDescent="0.2">
      <c r="A91" s="13" t="s">
        <v>239</v>
      </c>
      <c r="B91" s="12" t="s">
        <v>135</v>
      </c>
      <c r="C91" s="239">
        <v>1</v>
      </c>
      <c r="D91" s="12"/>
      <c r="E91" s="33"/>
      <c r="F91" s="12"/>
      <c r="G91" s="12"/>
      <c r="H91" s="43">
        <f t="shared" si="0"/>
        <v>0</v>
      </c>
    </row>
    <row r="92" spans="1:11" ht="15.75" x14ac:dyDescent="0.2">
      <c r="A92" s="13" t="s">
        <v>220</v>
      </c>
      <c r="B92" s="12" t="s">
        <v>136</v>
      </c>
      <c r="C92" s="239">
        <v>3</v>
      </c>
      <c r="D92" s="14"/>
      <c r="E92" s="33"/>
      <c r="F92" s="12"/>
      <c r="G92" s="12"/>
      <c r="H92" s="43">
        <f t="shared" si="0"/>
        <v>0</v>
      </c>
    </row>
    <row r="93" spans="1:11" ht="15.75" x14ac:dyDescent="0.2">
      <c r="A93" s="13" t="s">
        <v>221</v>
      </c>
      <c r="B93" s="12" t="s">
        <v>136</v>
      </c>
      <c r="C93" s="239">
        <v>1</v>
      </c>
      <c r="D93" s="14"/>
      <c r="E93" s="33"/>
      <c r="F93" s="12"/>
      <c r="G93" s="12"/>
      <c r="H93" s="43"/>
    </row>
    <row r="94" spans="1:11" ht="15.75" x14ac:dyDescent="0.2">
      <c r="A94" s="13"/>
      <c r="B94" s="12"/>
      <c r="C94" s="12"/>
      <c r="D94" s="12"/>
      <c r="E94" s="33"/>
      <c r="F94" s="12"/>
      <c r="G94" s="12"/>
      <c r="H94" s="43"/>
    </row>
    <row r="95" spans="1:11" ht="31.5" x14ac:dyDescent="0.2">
      <c r="A95" s="13" t="s">
        <v>253</v>
      </c>
      <c r="B95" s="12" t="s">
        <v>137</v>
      </c>
      <c r="C95" s="239">
        <v>2</v>
      </c>
      <c r="D95" s="12"/>
      <c r="E95" s="33"/>
      <c r="F95" s="12"/>
      <c r="G95" s="12"/>
      <c r="H95" s="43"/>
    </row>
    <row r="96" spans="1:11" ht="31.5" x14ac:dyDescent="0.2">
      <c r="A96" s="13" t="s">
        <v>253</v>
      </c>
      <c r="B96" s="12" t="s">
        <v>138</v>
      </c>
      <c r="C96" s="239">
        <v>2</v>
      </c>
      <c r="D96" s="12"/>
      <c r="E96" s="33"/>
      <c r="F96" s="12"/>
      <c r="G96" s="12"/>
      <c r="H96" s="43"/>
    </row>
    <row r="97" spans="1:11" ht="32.25" thickBot="1" x14ac:dyDescent="0.25">
      <c r="A97" s="79" t="s">
        <v>254</v>
      </c>
      <c r="B97" s="16" t="s">
        <v>139</v>
      </c>
      <c r="C97" s="247">
        <v>1</v>
      </c>
      <c r="D97" s="16"/>
      <c r="E97" s="33"/>
      <c r="F97" s="16"/>
      <c r="G97" s="12"/>
      <c r="H97" s="43"/>
    </row>
    <row r="98" spans="1:11" ht="35.450000000000003" customHeight="1" thickBot="1" x14ac:dyDescent="0.25">
      <c r="A98" s="252" t="s">
        <v>68</v>
      </c>
      <c r="B98" s="253"/>
      <c r="C98" s="254" t="s">
        <v>73</v>
      </c>
      <c r="D98" s="255"/>
      <c r="E98" s="52" t="s">
        <v>69</v>
      </c>
      <c r="F98" s="55"/>
      <c r="G98" s="56"/>
      <c r="H98" s="43" t="e">
        <f t="shared" si="0"/>
        <v>#VALUE!</v>
      </c>
    </row>
    <row r="99" spans="1:11" ht="32.25" thickBot="1" x14ac:dyDescent="0.25">
      <c r="A99" s="21" t="s">
        <v>70</v>
      </c>
      <c r="B99" s="63" t="s">
        <v>38</v>
      </c>
      <c r="C99" s="63" t="s">
        <v>0</v>
      </c>
      <c r="D99" s="63" t="s">
        <v>44</v>
      </c>
      <c r="E99" s="62" t="s">
        <v>45</v>
      </c>
      <c r="F99" s="22" t="s">
        <v>71</v>
      </c>
      <c r="G99" s="64"/>
      <c r="H99" s="43"/>
    </row>
    <row r="100" spans="1:11" ht="15.75" x14ac:dyDescent="0.2">
      <c r="A100" s="6" t="s">
        <v>142</v>
      </c>
      <c r="B100" s="5" t="s">
        <v>131</v>
      </c>
      <c r="C100" s="234">
        <v>3</v>
      </c>
      <c r="D100" s="12"/>
      <c r="E100" s="33"/>
      <c r="F100" s="198"/>
      <c r="G100" s="12"/>
      <c r="H100" s="43"/>
    </row>
    <row r="101" spans="1:11" ht="15.75" x14ac:dyDescent="0.2">
      <c r="A101" s="6" t="s">
        <v>141</v>
      </c>
      <c r="B101" s="5" t="s">
        <v>0</v>
      </c>
      <c r="C101" s="234">
        <v>75</v>
      </c>
      <c r="D101" s="14"/>
      <c r="E101" s="33"/>
      <c r="F101" s="198"/>
      <c r="G101" s="12"/>
      <c r="H101" s="43"/>
    </row>
    <row r="102" spans="1:11" ht="15.75" x14ac:dyDescent="0.2">
      <c r="A102" s="6" t="s">
        <v>140</v>
      </c>
      <c r="B102" s="5" t="s">
        <v>50</v>
      </c>
      <c r="C102" s="234">
        <v>11</v>
      </c>
      <c r="D102" s="14"/>
      <c r="E102" s="33"/>
      <c r="F102" s="198"/>
      <c r="G102" s="12"/>
      <c r="H102" s="43"/>
    </row>
    <row r="103" spans="1:11" ht="15.75" x14ac:dyDescent="0.2">
      <c r="A103" s="6"/>
      <c r="B103" s="5"/>
      <c r="C103" s="23"/>
      <c r="D103" s="14"/>
      <c r="E103" s="33"/>
      <c r="F103" s="198"/>
      <c r="G103" s="12"/>
      <c r="H103" s="43"/>
    </row>
    <row r="104" spans="1:11" ht="16.5" thickBot="1" x14ac:dyDescent="0.25">
      <c r="A104" s="6" t="s">
        <v>132</v>
      </c>
      <c r="B104" s="5" t="s">
        <v>0</v>
      </c>
      <c r="C104" s="234">
        <v>22</v>
      </c>
      <c r="D104" s="14"/>
      <c r="E104" s="33"/>
      <c r="F104" s="198"/>
      <c r="G104" s="12"/>
      <c r="H104" s="43"/>
    </row>
    <row r="105" spans="1:11" s="9" customFormat="1" ht="16.5" thickBot="1" x14ac:dyDescent="0.25">
      <c r="A105" s="252" t="s">
        <v>68</v>
      </c>
      <c r="B105" s="253"/>
      <c r="C105" s="254" t="s">
        <v>73</v>
      </c>
      <c r="D105" s="255"/>
      <c r="E105" s="52" t="s">
        <v>69</v>
      </c>
      <c r="F105" s="55"/>
      <c r="G105" s="42"/>
      <c r="H105" s="43"/>
      <c r="I105" s="3"/>
      <c r="J105" s="3"/>
      <c r="K105" s="3"/>
    </row>
    <row r="106" spans="1:11" ht="32.25" thickBot="1" x14ac:dyDescent="0.25">
      <c r="A106" s="21" t="s">
        <v>24</v>
      </c>
      <c r="B106" s="22" t="s">
        <v>38</v>
      </c>
      <c r="C106" s="22" t="s">
        <v>0</v>
      </c>
      <c r="D106" s="22"/>
      <c r="E106" s="35"/>
      <c r="F106" s="22" t="s">
        <v>65</v>
      </c>
      <c r="G106" s="12"/>
      <c r="H106" s="43" t="e">
        <f>G106*#REF!</f>
        <v>#REF!</v>
      </c>
    </row>
    <row r="107" spans="1:11" ht="15.75" x14ac:dyDescent="0.2">
      <c r="A107" s="6" t="s">
        <v>17</v>
      </c>
      <c r="B107" s="5" t="s">
        <v>1</v>
      </c>
      <c r="C107" s="239">
        <v>500</v>
      </c>
      <c r="D107" s="12"/>
      <c r="E107" s="12"/>
      <c r="F107" s="198"/>
      <c r="G107" s="46"/>
      <c r="H107" s="43"/>
    </row>
    <row r="108" spans="1:11" ht="15.75" x14ac:dyDescent="0.2">
      <c r="A108" s="6" t="s">
        <v>16</v>
      </c>
      <c r="B108" s="5" t="s">
        <v>1</v>
      </c>
      <c r="C108" s="239">
        <v>250</v>
      </c>
      <c r="D108" s="12"/>
      <c r="E108" s="12"/>
      <c r="F108" s="198"/>
      <c r="G108" s="46"/>
      <c r="H108" s="43"/>
    </row>
    <row r="109" spans="1:11" ht="15.75" x14ac:dyDescent="0.2">
      <c r="A109" s="6" t="s">
        <v>143</v>
      </c>
      <c r="B109" s="5" t="s">
        <v>1</v>
      </c>
      <c r="C109" s="239">
        <v>500</v>
      </c>
      <c r="D109" s="12"/>
      <c r="E109" s="12"/>
      <c r="F109" s="198"/>
      <c r="G109" s="46"/>
      <c r="H109" s="43"/>
    </row>
    <row r="110" spans="1:11" ht="15.75" x14ac:dyDescent="0.2">
      <c r="A110" s="6" t="s">
        <v>4</v>
      </c>
      <c r="B110" s="5" t="s">
        <v>1</v>
      </c>
      <c r="C110" s="248">
        <v>100</v>
      </c>
      <c r="D110" s="12"/>
      <c r="E110" s="12"/>
      <c r="F110" s="198"/>
      <c r="G110" s="46"/>
      <c r="H110" s="43"/>
    </row>
    <row r="111" spans="1:11" ht="15.75" x14ac:dyDescent="0.2">
      <c r="A111" s="6" t="s">
        <v>192</v>
      </c>
      <c r="B111" s="5" t="s">
        <v>1</v>
      </c>
      <c r="C111" s="248">
        <v>750</v>
      </c>
      <c r="D111" s="12"/>
      <c r="E111" s="12"/>
      <c r="F111" s="198"/>
      <c r="G111" s="46"/>
      <c r="H111" s="43"/>
    </row>
    <row r="112" spans="1:11" ht="15.75" x14ac:dyDescent="0.2">
      <c r="A112" s="6" t="s">
        <v>92</v>
      </c>
      <c r="B112" s="5" t="s">
        <v>1</v>
      </c>
      <c r="C112" s="248">
        <v>250</v>
      </c>
      <c r="D112" s="12"/>
      <c r="E112" s="12"/>
      <c r="F112" s="198"/>
      <c r="G112" s="46"/>
      <c r="H112" s="43"/>
    </row>
    <row r="113" spans="1:8" ht="15.75" x14ac:dyDescent="0.2">
      <c r="A113" s="8" t="s">
        <v>93</v>
      </c>
      <c r="B113" s="5" t="s">
        <v>1</v>
      </c>
      <c r="C113" s="248">
        <v>500</v>
      </c>
      <c r="D113" s="36"/>
      <c r="E113" s="36"/>
      <c r="F113" s="199"/>
      <c r="G113" s="46"/>
      <c r="H113" s="43" t="e">
        <f>G113*#REF!</f>
        <v>#REF!</v>
      </c>
    </row>
    <row r="114" spans="1:8" ht="15.75" x14ac:dyDescent="0.2">
      <c r="A114" s="8" t="s">
        <v>18</v>
      </c>
      <c r="B114" s="5" t="s">
        <v>0</v>
      </c>
      <c r="C114" s="249">
        <v>4</v>
      </c>
      <c r="D114" s="34"/>
      <c r="E114" s="34"/>
      <c r="F114" s="200"/>
      <c r="G114" s="1"/>
      <c r="H114" s="43">
        <f t="shared" ref="H114:H115" si="1">G114*C115</f>
        <v>0</v>
      </c>
    </row>
    <row r="115" spans="1:8" ht="15.75" x14ac:dyDescent="0.2">
      <c r="A115" s="8" t="s">
        <v>19</v>
      </c>
      <c r="B115" s="5" t="s">
        <v>0</v>
      </c>
      <c r="C115" s="249">
        <v>4</v>
      </c>
      <c r="D115" s="34"/>
      <c r="E115" s="34"/>
      <c r="F115" s="200"/>
      <c r="G115" s="47"/>
      <c r="H115" s="43">
        <f t="shared" si="1"/>
        <v>0</v>
      </c>
    </row>
    <row r="116" spans="1:8" ht="15.75" x14ac:dyDescent="0.2">
      <c r="A116" s="8" t="s">
        <v>20</v>
      </c>
      <c r="B116" s="5" t="s">
        <v>0</v>
      </c>
      <c r="C116" s="249">
        <v>4</v>
      </c>
      <c r="D116" s="7"/>
      <c r="E116" s="7"/>
      <c r="F116" s="195"/>
      <c r="G116" s="47"/>
      <c r="H116" s="43" t="e">
        <f>G116*#REF!</f>
        <v>#REF!</v>
      </c>
    </row>
    <row r="117" spans="1:8" ht="15.75" x14ac:dyDescent="0.2">
      <c r="A117" s="8" t="s">
        <v>190</v>
      </c>
      <c r="B117" s="5" t="s">
        <v>0</v>
      </c>
      <c r="C117" s="249">
        <v>6</v>
      </c>
      <c r="D117" s="7"/>
      <c r="E117" s="7"/>
      <c r="F117" s="195"/>
      <c r="G117" s="147"/>
      <c r="H117" s="61"/>
    </row>
    <row r="118" spans="1:8" ht="16.5" thickBot="1" x14ac:dyDescent="0.25">
      <c r="A118" s="8" t="s">
        <v>191</v>
      </c>
      <c r="B118" s="5" t="s">
        <v>0</v>
      </c>
      <c r="C118" s="249">
        <v>1</v>
      </c>
      <c r="D118" s="7"/>
      <c r="E118" s="7"/>
      <c r="F118" s="195"/>
      <c r="G118" s="147"/>
      <c r="H118" s="61"/>
    </row>
    <row r="119" spans="1:8" ht="16.5" thickBot="1" x14ac:dyDescent="0.25">
      <c r="A119" s="252" t="s">
        <v>68</v>
      </c>
      <c r="B119" s="253"/>
      <c r="C119" s="254" t="s">
        <v>73</v>
      </c>
      <c r="D119" s="255"/>
      <c r="E119" s="52" t="s">
        <v>69</v>
      </c>
      <c r="F119" s="55"/>
      <c r="G119" s="49"/>
      <c r="H119" s="61"/>
    </row>
    <row r="120" spans="1:8" ht="32.25" thickBot="1" x14ac:dyDescent="0.25">
      <c r="A120" s="21" t="s">
        <v>23</v>
      </c>
      <c r="B120" s="22" t="s">
        <v>38</v>
      </c>
      <c r="C120" s="22" t="s">
        <v>0</v>
      </c>
      <c r="D120" s="22"/>
      <c r="E120" s="35"/>
      <c r="F120" s="22" t="s">
        <v>65</v>
      </c>
      <c r="G120" s="12"/>
      <c r="H120" s="43" t="e">
        <f>G120*#REF!</f>
        <v>#REF!</v>
      </c>
    </row>
    <row r="121" spans="1:8" ht="15.75" x14ac:dyDescent="0.2">
      <c r="A121" s="13" t="s">
        <v>21</v>
      </c>
      <c r="B121" s="11" t="s">
        <v>0</v>
      </c>
      <c r="C121" s="251">
        <v>4</v>
      </c>
      <c r="D121" s="80"/>
      <c r="E121" s="80"/>
      <c r="F121" s="197"/>
      <c r="G121" s="46"/>
      <c r="H121" s="43"/>
    </row>
    <row r="122" spans="1:8" ht="15.75" x14ac:dyDescent="0.2">
      <c r="A122" s="13" t="s">
        <v>8</v>
      </c>
      <c r="B122" s="11" t="s">
        <v>0</v>
      </c>
      <c r="C122" s="239">
        <v>1</v>
      </c>
      <c r="D122" s="12"/>
      <c r="E122" s="12"/>
      <c r="F122" s="198"/>
      <c r="G122" s="46"/>
      <c r="H122" s="43"/>
    </row>
    <row r="123" spans="1:8" ht="15.75" x14ac:dyDescent="0.2">
      <c r="A123" s="13" t="s">
        <v>6</v>
      </c>
      <c r="B123" s="11" t="s">
        <v>0</v>
      </c>
      <c r="C123" s="239">
        <v>5</v>
      </c>
      <c r="D123" s="12"/>
      <c r="E123" s="12"/>
      <c r="F123" s="198"/>
      <c r="G123" s="46"/>
      <c r="H123" s="43"/>
    </row>
    <row r="124" spans="1:8" ht="15.75" x14ac:dyDescent="0.2">
      <c r="A124" s="13" t="s">
        <v>89</v>
      </c>
      <c r="B124" s="11" t="s">
        <v>5</v>
      </c>
      <c r="C124" s="239">
        <v>135</v>
      </c>
      <c r="D124" s="14"/>
      <c r="E124" s="12"/>
      <c r="F124" s="198"/>
      <c r="G124" s="46"/>
      <c r="H124" s="43"/>
    </row>
    <row r="125" spans="1:8" ht="15.75" x14ac:dyDescent="0.2">
      <c r="A125" s="13" t="s">
        <v>90</v>
      </c>
      <c r="B125" s="11" t="s">
        <v>2</v>
      </c>
      <c r="C125" s="239">
        <v>120</v>
      </c>
      <c r="D125" s="14"/>
      <c r="E125" s="12"/>
      <c r="F125" s="198"/>
      <c r="G125" s="46"/>
      <c r="H125" s="43"/>
    </row>
    <row r="126" spans="1:8" ht="15.75" x14ac:dyDescent="0.2">
      <c r="A126" s="13" t="s">
        <v>14</v>
      </c>
      <c r="B126" s="11" t="s">
        <v>15</v>
      </c>
      <c r="C126" s="239">
        <v>25</v>
      </c>
      <c r="D126" s="14"/>
      <c r="E126" s="12"/>
      <c r="F126" s="198"/>
      <c r="G126" s="46"/>
      <c r="H126" s="43"/>
    </row>
    <row r="127" spans="1:8" ht="15.75" x14ac:dyDescent="0.2">
      <c r="A127" s="13" t="s">
        <v>193</v>
      </c>
      <c r="B127" s="11" t="s">
        <v>15</v>
      </c>
      <c r="C127" s="239">
        <v>5</v>
      </c>
      <c r="D127" s="14"/>
      <c r="E127" s="12"/>
      <c r="F127" s="198"/>
      <c r="G127" s="46"/>
      <c r="H127" s="43"/>
    </row>
    <row r="128" spans="1:8" ht="15.75" x14ac:dyDescent="0.2">
      <c r="A128" s="13" t="s">
        <v>199</v>
      </c>
      <c r="B128" s="11" t="s">
        <v>15</v>
      </c>
      <c r="C128" s="239">
        <v>5</v>
      </c>
      <c r="D128" s="14"/>
      <c r="E128" s="12"/>
      <c r="F128" s="198"/>
      <c r="G128" s="46"/>
      <c r="H128" s="43"/>
    </row>
    <row r="129" spans="1:8" ht="15.75" x14ac:dyDescent="0.2">
      <c r="A129" s="13" t="s">
        <v>88</v>
      </c>
      <c r="B129" s="11" t="s">
        <v>0</v>
      </c>
      <c r="C129" s="239">
        <v>6</v>
      </c>
      <c r="D129" s="14"/>
      <c r="E129" s="12"/>
      <c r="F129" s="198"/>
      <c r="G129" s="46"/>
      <c r="H129" s="43"/>
    </row>
    <row r="130" spans="1:8" ht="15.75" x14ac:dyDescent="0.2">
      <c r="A130" s="13" t="s">
        <v>91</v>
      </c>
      <c r="B130" s="11" t="s">
        <v>0</v>
      </c>
      <c r="C130" s="239">
        <v>1</v>
      </c>
      <c r="D130" s="14"/>
      <c r="E130" s="12"/>
      <c r="F130" s="198"/>
      <c r="G130" s="46"/>
      <c r="H130" s="43"/>
    </row>
    <row r="131" spans="1:8" ht="15.75" x14ac:dyDescent="0.2">
      <c r="A131" s="13" t="s">
        <v>144</v>
      </c>
      <c r="B131" s="11" t="s">
        <v>0</v>
      </c>
      <c r="C131" s="239">
        <v>12</v>
      </c>
      <c r="D131" s="14"/>
      <c r="E131" s="12"/>
      <c r="F131" s="198"/>
      <c r="G131" s="46"/>
      <c r="H131" s="43"/>
    </row>
    <row r="132" spans="1:8" ht="15.75" x14ac:dyDescent="0.2">
      <c r="A132" s="13" t="s">
        <v>145</v>
      </c>
      <c r="B132" s="11" t="s">
        <v>0</v>
      </c>
      <c r="C132" s="239">
        <v>2</v>
      </c>
      <c r="D132" s="12"/>
      <c r="E132" s="12"/>
      <c r="F132" s="198"/>
      <c r="G132" s="46"/>
      <c r="H132" s="43"/>
    </row>
    <row r="133" spans="1:8" ht="15.75" x14ac:dyDescent="0.2">
      <c r="A133" s="13" t="s">
        <v>87</v>
      </c>
      <c r="B133" s="11" t="s">
        <v>0</v>
      </c>
      <c r="C133" s="239">
        <v>1</v>
      </c>
      <c r="D133" s="12"/>
      <c r="E133" s="12"/>
      <c r="F133" s="198"/>
      <c r="G133" s="46"/>
      <c r="H133" s="43"/>
    </row>
    <row r="134" spans="1:8" ht="15.75" x14ac:dyDescent="0.2">
      <c r="A134" s="13" t="s">
        <v>194</v>
      </c>
      <c r="B134" s="11" t="s">
        <v>0</v>
      </c>
      <c r="C134" s="239">
        <v>1</v>
      </c>
      <c r="D134" s="12"/>
      <c r="E134" s="12"/>
      <c r="F134" s="198"/>
      <c r="G134" s="46"/>
      <c r="H134" s="43"/>
    </row>
    <row r="135" spans="1:8" ht="15.75" x14ac:dyDescent="0.2">
      <c r="A135" s="13" t="s">
        <v>10</v>
      </c>
      <c r="B135" s="11" t="s">
        <v>56</v>
      </c>
      <c r="C135" s="239">
        <v>9</v>
      </c>
      <c r="D135" s="14"/>
      <c r="E135" s="46"/>
      <c r="F135" s="199"/>
      <c r="G135" s="46"/>
      <c r="H135" s="43">
        <f t="shared" ref="H135:H136" si="2">G135*C136</f>
        <v>0</v>
      </c>
    </row>
    <row r="136" spans="1:8" ht="15.75" x14ac:dyDescent="0.2">
      <c r="A136" s="13" t="s">
        <v>9</v>
      </c>
      <c r="B136" s="11" t="s">
        <v>249</v>
      </c>
      <c r="C136" s="239">
        <v>1</v>
      </c>
      <c r="D136" s="14"/>
      <c r="E136" s="46"/>
      <c r="F136" s="199"/>
      <c r="G136" s="1"/>
      <c r="H136" s="43">
        <f t="shared" si="2"/>
        <v>0</v>
      </c>
    </row>
    <row r="137" spans="1:8" ht="15.75" x14ac:dyDescent="0.2">
      <c r="A137" s="13" t="s">
        <v>3</v>
      </c>
      <c r="B137" s="11" t="s">
        <v>1</v>
      </c>
      <c r="C137" s="248">
        <v>4</v>
      </c>
      <c r="D137" s="14"/>
      <c r="E137" s="1"/>
      <c r="F137" s="200"/>
      <c r="G137" s="1"/>
      <c r="H137" s="43" t="e">
        <f>G137*#REF!</f>
        <v>#REF!</v>
      </c>
    </row>
    <row r="138" spans="1:8" ht="16.5" thickBot="1" x14ac:dyDescent="0.25">
      <c r="A138" s="13" t="s">
        <v>189</v>
      </c>
      <c r="B138" s="11" t="s">
        <v>1</v>
      </c>
      <c r="C138" s="248">
        <v>1</v>
      </c>
      <c r="D138" s="14"/>
      <c r="E138" s="1"/>
      <c r="F138" s="201"/>
      <c r="G138" s="148"/>
      <c r="H138" s="61"/>
    </row>
    <row r="139" spans="1:8" ht="16.5" thickBot="1" x14ac:dyDescent="0.25">
      <c r="A139" s="252" t="s">
        <v>68</v>
      </c>
      <c r="B139" s="253"/>
      <c r="C139" s="254" t="s">
        <v>73</v>
      </c>
      <c r="D139" s="255"/>
      <c r="E139" s="52" t="s">
        <v>69</v>
      </c>
      <c r="F139" s="55"/>
      <c r="G139" s="49"/>
      <c r="H139" s="61"/>
    </row>
    <row r="140" spans="1:8" ht="32.25" thickBot="1" x14ac:dyDescent="0.25">
      <c r="A140" s="21" t="s">
        <v>27</v>
      </c>
      <c r="B140" s="22" t="s">
        <v>38</v>
      </c>
      <c r="C140" s="22" t="s">
        <v>0</v>
      </c>
      <c r="D140" s="22"/>
      <c r="E140" s="35"/>
      <c r="F140" s="22" t="s">
        <v>65</v>
      </c>
      <c r="G140" s="12"/>
      <c r="H140" s="43" t="e">
        <f>G140*#REF!</f>
        <v>#REF!</v>
      </c>
    </row>
    <row r="141" spans="1:8" ht="15.75" x14ac:dyDescent="0.2">
      <c r="A141" s="13" t="s">
        <v>255</v>
      </c>
      <c r="B141" s="11" t="s">
        <v>0</v>
      </c>
      <c r="C141" s="239">
        <v>1</v>
      </c>
      <c r="D141" s="260" t="s">
        <v>246</v>
      </c>
      <c r="E141" s="261"/>
      <c r="F141" s="262"/>
      <c r="G141" s="12"/>
      <c r="H141" s="43"/>
    </row>
    <row r="142" spans="1:8" ht="15.75" x14ac:dyDescent="0.2">
      <c r="A142" s="13" t="s">
        <v>247</v>
      </c>
      <c r="B142" s="11" t="s">
        <v>0</v>
      </c>
      <c r="C142" s="249">
        <v>60</v>
      </c>
      <c r="D142" s="15"/>
      <c r="E142" s="7"/>
      <c r="F142" s="195"/>
      <c r="G142" s="47"/>
      <c r="H142" s="43">
        <f>G142*C144</f>
        <v>0</v>
      </c>
    </row>
    <row r="143" spans="1:8" ht="15.75" x14ac:dyDescent="0.2">
      <c r="A143" s="13" t="s">
        <v>248</v>
      </c>
      <c r="B143" s="11" t="s">
        <v>0</v>
      </c>
      <c r="C143" s="250">
        <v>4</v>
      </c>
      <c r="D143" s="54"/>
      <c r="E143" s="7"/>
      <c r="F143" s="196"/>
      <c r="G143" s="71"/>
      <c r="H143" s="43"/>
    </row>
    <row r="144" spans="1:8" ht="16.5" thickBot="1" x14ac:dyDescent="0.25">
      <c r="A144" s="13" t="s">
        <v>7</v>
      </c>
      <c r="B144" s="11" t="s">
        <v>0</v>
      </c>
      <c r="C144" s="250">
        <v>2</v>
      </c>
      <c r="D144" s="54"/>
      <c r="E144" s="7"/>
      <c r="F144" s="196"/>
      <c r="G144" s="48"/>
      <c r="H144" s="43" t="e">
        <f t="shared" ref="H144" si="3">G144*C145</f>
        <v>#VALUE!</v>
      </c>
    </row>
    <row r="145" spans="1:8" ht="16.5" thickBot="1" x14ac:dyDescent="0.25">
      <c r="A145" s="252" t="s">
        <v>68</v>
      </c>
      <c r="B145" s="253"/>
      <c r="C145" s="254" t="s">
        <v>73</v>
      </c>
      <c r="D145" s="255"/>
      <c r="E145" s="52" t="s">
        <v>69</v>
      </c>
      <c r="F145" s="55"/>
      <c r="G145" s="49"/>
      <c r="H145" s="61"/>
    </row>
    <row r="146" spans="1:8" ht="16.5" thickBot="1" x14ac:dyDescent="0.25">
      <c r="A146" s="256"/>
      <c r="B146" s="257"/>
      <c r="C146" s="257"/>
      <c r="D146" s="257"/>
      <c r="E146" s="257"/>
      <c r="F146" s="257"/>
      <c r="G146" s="49"/>
      <c r="H146" s="61"/>
    </row>
    <row r="147" spans="1:8" ht="32.25" thickBot="1" x14ac:dyDescent="0.25">
      <c r="A147" s="67"/>
      <c r="B147" s="68" t="s">
        <v>75</v>
      </c>
      <c r="C147" s="258" t="s">
        <v>76</v>
      </c>
      <c r="D147" s="259"/>
      <c r="E147" s="69" t="s">
        <v>77</v>
      </c>
      <c r="F147" s="70"/>
      <c r="G147" s="65" t="s">
        <v>54</v>
      </c>
      <c r="H147" s="41" t="e">
        <f>SUM(H32:H116)</f>
        <v>#VALUE!</v>
      </c>
    </row>
    <row r="148" spans="1:8" x14ac:dyDescent="0.2">
      <c r="A148" s="66"/>
      <c r="B148" s="66"/>
      <c r="C148" s="66"/>
      <c r="D148" s="66"/>
      <c r="E148" s="66"/>
      <c r="F148" s="66"/>
    </row>
  </sheetData>
  <mergeCells count="34">
    <mergeCell ref="A9:F9"/>
    <mergeCell ref="F1:F8"/>
    <mergeCell ref="A1:E1"/>
    <mergeCell ref="B2:E2"/>
    <mergeCell ref="B3:E3"/>
    <mergeCell ref="B4:E4"/>
    <mergeCell ref="D6:E6"/>
    <mergeCell ref="A7:A8"/>
    <mergeCell ref="B5:E5"/>
    <mergeCell ref="A75:B75"/>
    <mergeCell ref="C75:D75"/>
    <mergeCell ref="A79:B79"/>
    <mergeCell ref="A139:B139"/>
    <mergeCell ref="C139:D139"/>
    <mergeCell ref="C79:D79"/>
    <mergeCell ref="A89:B89"/>
    <mergeCell ref="C89:D89"/>
    <mergeCell ref="A98:B98"/>
    <mergeCell ref="C98:D98"/>
    <mergeCell ref="A31:B31"/>
    <mergeCell ref="C31:D31"/>
    <mergeCell ref="A63:B63"/>
    <mergeCell ref="C63:D63"/>
    <mergeCell ref="A68:B68"/>
    <mergeCell ref="C68:D68"/>
    <mergeCell ref="A145:B145"/>
    <mergeCell ref="C145:D145"/>
    <mergeCell ref="A146:F146"/>
    <mergeCell ref="C147:D147"/>
    <mergeCell ref="A105:B105"/>
    <mergeCell ref="C105:D105"/>
    <mergeCell ref="A119:B119"/>
    <mergeCell ref="C119:D119"/>
    <mergeCell ref="D141:F141"/>
  </mergeCells>
  <phoneticPr fontId="11" type="noConversion"/>
  <conditionalFormatting sqref="G34">
    <cfRule type="cellIs" priority="1" operator="greaterThan">
      <formula>0</formula>
    </cfRule>
    <cfRule type="cellIs" dxfId="0" priority="2" operator="greaterThan">
      <formula>0</formula>
    </cfRule>
  </conditionalFormatting>
  <pageMargins left="0.70866141732283472" right="0.70866141732283472" top="0.55118110236220474" bottom="1.3385826771653544" header="0.31496062992125984" footer="0.31496062992125984"/>
  <pageSetup paperSize="9" scale="45" fitToHeight="3" orientation="portrait" r:id="rId1"/>
  <headerFooter>
    <oddFooter>&amp;R&amp;G</oddFooter>
  </headerFooter>
  <rowBreaks count="2" manualBreakCount="2">
    <brk id="79" max="5" man="1"/>
    <brk id="147" max="5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4DC7-391E-4EF1-8E78-84F5C437B9B0}">
  <dimension ref="C2:R28"/>
  <sheetViews>
    <sheetView workbookViewId="0">
      <selection activeCell="H11" sqref="H11"/>
    </sheetView>
  </sheetViews>
  <sheetFormatPr defaultRowHeight="12.75" x14ac:dyDescent="0.2"/>
  <sheetData>
    <row r="2" spans="3:18" ht="13.5" thickBot="1" x14ac:dyDescent="0.25"/>
    <row r="3" spans="3:18" ht="18.75" thickBot="1" x14ac:dyDescent="0.25">
      <c r="I3" s="283" t="s">
        <v>204</v>
      </c>
      <c r="J3" s="284"/>
      <c r="K3" s="284"/>
      <c r="L3" s="284"/>
      <c r="M3" s="284"/>
      <c r="N3" s="284"/>
      <c r="O3" s="284"/>
      <c r="P3" s="284"/>
      <c r="Q3" s="284"/>
      <c r="R3" s="285"/>
    </row>
    <row r="4" spans="3:18" ht="15" x14ac:dyDescent="0.25">
      <c r="C4" s="286" t="s">
        <v>195</v>
      </c>
      <c r="D4" s="287"/>
      <c r="E4" s="287"/>
      <c r="F4" s="287"/>
      <c r="G4" s="288"/>
      <c r="I4" s="289" t="s">
        <v>169</v>
      </c>
      <c r="J4" s="290"/>
      <c r="K4" s="290"/>
      <c r="L4" s="290"/>
      <c r="M4" s="291"/>
      <c r="N4" s="292" t="s">
        <v>168</v>
      </c>
      <c r="O4" s="293"/>
      <c r="P4" s="293"/>
      <c r="Q4" s="293"/>
      <c r="R4" s="294"/>
    </row>
    <row r="5" spans="3:18" x14ac:dyDescent="0.2">
      <c r="C5" s="149"/>
      <c r="D5" s="150" t="s">
        <v>154</v>
      </c>
      <c r="E5" s="150" t="s">
        <v>80</v>
      </c>
      <c r="F5" s="150" t="s">
        <v>0</v>
      </c>
      <c r="G5" s="151" t="s">
        <v>79</v>
      </c>
      <c r="I5" s="164" t="s">
        <v>205</v>
      </c>
      <c r="J5" s="165" t="s">
        <v>206</v>
      </c>
      <c r="K5" s="165" t="s">
        <v>82</v>
      </c>
      <c r="L5" s="165" t="s">
        <v>207</v>
      </c>
      <c r="M5" s="166" t="s">
        <v>83</v>
      </c>
      <c r="N5" s="164" t="s">
        <v>205</v>
      </c>
      <c r="O5" s="165" t="s">
        <v>206</v>
      </c>
      <c r="P5" s="165" t="s">
        <v>82</v>
      </c>
      <c r="Q5" s="165" t="s">
        <v>207</v>
      </c>
      <c r="R5" s="166" t="s">
        <v>83</v>
      </c>
    </row>
    <row r="6" spans="3:18" x14ac:dyDescent="0.2">
      <c r="C6" s="152"/>
      <c r="G6" s="153"/>
      <c r="I6" s="152"/>
      <c r="L6" s="167"/>
      <c r="M6" s="168"/>
      <c r="N6" s="152"/>
      <c r="R6" s="153"/>
    </row>
    <row r="7" spans="3:18" x14ac:dyDescent="0.2">
      <c r="C7" s="156" t="s">
        <v>196</v>
      </c>
      <c r="D7" s="154"/>
      <c r="E7" s="154"/>
      <c r="F7" s="154">
        <v>1</v>
      </c>
      <c r="G7" s="157">
        <f>D7*E7*F7</f>
        <v>0</v>
      </c>
      <c r="I7" s="169"/>
      <c r="J7" s="170"/>
      <c r="K7" s="171"/>
      <c r="L7" s="172"/>
      <c r="M7" s="173"/>
      <c r="N7" s="174"/>
      <c r="O7" s="154"/>
      <c r="P7" s="175"/>
      <c r="Q7" s="172"/>
      <c r="R7" s="176"/>
    </row>
    <row r="8" spans="3:18" x14ac:dyDescent="0.2">
      <c r="C8" s="156" t="s">
        <v>208</v>
      </c>
      <c r="D8" s="154"/>
      <c r="E8" s="154"/>
      <c r="F8" s="154">
        <v>1</v>
      </c>
      <c r="G8" s="157">
        <f t="shared" ref="G8:G11" si="0">D8*E8*F8</f>
        <v>0</v>
      </c>
      <c r="I8" s="169"/>
      <c r="J8" s="170"/>
      <c r="K8" s="171"/>
      <c r="L8" s="172"/>
      <c r="M8" s="173"/>
      <c r="N8" s="174"/>
      <c r="O8" s="154"/>
      <c r="P8" s="172"/>
      <c r="Q8" s="172"/>
      <c r="R8" s="177"/>
    </row>
    <row r="9" spans="3:18" x14ac:dyDescent="0.2">
      <c r="C9" s="156" t="s">
        <v>85</v>
      </c>
      <c r="D9" s="154"/>
      <c r="E9" s="154"/>
      <c r="F9" s="154">
        <v>1</v>
      </c>
      <c r="G9" s="157">
        <f t="shared" si="0"/>
        <v>0</v>
      </c>
      <c r="I9" s="169"/>
      <c r="J9" s="170"/>
      <c r="K9" s="171"/>
      <c r="L9" s="172"/>
      <c r="M9" s="173"/>
      <c r="N9" s="174"/>
      <c r="O9" s="154"/>
      <c r="P9" s="172"/>
      <c r="Q9" s="172"/>
      <c r="R9" s="177"/>
    </row>
    <row r="10" spans="3:18" x14ac:dyDescent="0.2">
      <c r="C10" s="156" t="s">
        <v>209</v>
      </c>
      <c r="D10" s="154"/>
      <c r="E10" s="154"/>
      <c r="F10" s="154">
        <v>1</v>
      </c>
      <c r="G10" s="157">
        <f t="shared" si="0"/>
        <v>0</v>
      </c>
      <c r="I10" s="169"/>
      <c r="J10" s="170"/>
      <c r="K10" s="171"/>
      <c r="L10" s="172"/>
      <c r="M10" s="173"/>
      <c r="N10" s="178"/>
      <c r="O10" s="179"/>
      <c r="P10" s="172"/>
      <c r="Q10" s="172"/>
      <c r="R10" s="177"/>
    </row>
    <row r="11" spans="3:18" x14ac:dyDescent="0.2">
      <c r="C11" s="156" t="s">
        <v>210</v>
      </c>
      <c r="D11" s="154"/>
      <c r="E11" s="154"/>
      <c r="F11" s="154">
        <v>1</v>
      </c>
      <c r="G11" s="157">
        <f t="shared" si="0"/>
        <v>0</v>
      </c>
      <c r="I11" s="169"/>
      <c r="J11" s="170"/>
      <c r="K11" s="171"/>
      <c r="L11" s="172"/>
      <c r="M11" s="173"/>
      <c r="N11" s="178"/>
      <c r="O11" s="179"/>
      <c r="P11" s="172"/>
      <c r="Q11" s="172"/>
      <c r="R11" s="177"/>
    </row>
    <row r="12" spans="3:18" x14ac:dyDescent="0.2">
      <c r="C12" s="156"/>
      <c r="D12" s="154"/>
      <c r="E12" s="154"/>
      <c r="F12" s="154"/>
      <c r="G12" s="157"/>
      <c r="I12" s="169"/>
      <c r="J12" s="180"/>
      <c r="K12" s="171"/>
      <c r="L12" s="167"/>
      <c r="M12" s="181"/>
      <c r="N12" s="178"/>
      <c r="O12" s="179"/>
      <c r="P12" s="172"/>
      <c r="Q12" s="172"/>
      <c r="R12" s="177"/>
    </row>
    <row r="13" spans="3:18" x14ac:dyDescent="0.2">
      <c r="C13" s="156"/>
      <c r="D13" s="154"/>
      <c r="E13" s="154"/>
      <c r="F13" s="154"/>
      <c r="G13" s="157"/>
      <c r="I13" s="182"/>
      <c r="J13" s="180"/>
      <c r="K13" s="171"/>
      <c r="L13" s="167"/>
      <c r="M13" s="181"/>
      <c r="N13" s="178"/>
      <c r="O13" s="179"/>
      <c r="P13" s="172"/>
      <c r="Q13" s="172"/>
      <c r="R13" s="177"/>
    </row>
    <row r="14" spans="3:18" x14ac:dyDescent="0.2">
      <c r="C14" s="149"/>
      <c r="D14" s="154"/>
      <c r="E14" s="154"/>
      <c r="F14" s="154"/>
      <c r="G14" s="153"/>
      <c r="I14" s="178"/>
      <c r="J14" s="179"/>
      <c r="K14" s="179"/>
      <c r="L14" s="179"/>
      <c r="M14" s="183"/>
      <c r="N14" s="178"/>
      <c r="O14" s="179"/>
      <c r="P14" s="172"/>
      <c r="Q14" s="172"/>
      <c r="R14" s="177"/>
    </row>
    <row r="15" spans="3:18" ht="13.5" thickBot="1" x14ac:dyDescent="0.25">
      <c r="C15" s="158" t="s">
        <v>53</v>
      </c>
      <c r="D15" s="159"/>
      <c r="E15" s="159"/>
      <c r="F15" s="159">
        <f>SUM(F7:F14)</f>
        <v>5</v>
      </c>
      <c r="G15" s="160">
        <f ca="1">SUM(G7:G15)</f>
        <v>5.58</v>
      </c>
      <c r="I15" s="184" t="s">
        <v>53</v>
      </c>
      <c r="J15" s="185"/>
      <c r="K15" s="185">
        <f>SUM(K7:K14)</f>
        <v>0</v>
      </c>
      <c r="L15" s="185"/>
      <c r="M15" s="186">
        <f>SUM(M7:M14)</f>
        <v>0</v>
      </c>
      <c r="N15" s="163" t="s">
        <v>53</v>
      </c>
      <c r="O15" s="185"/>
      <c r="P15" s="187">
        <f>SUM(P7:P14)</f>
        <v>0</v>
      </c>
      <c r="Q15" s="187"/>
      <c r="R15" s="188">
        <f>SUM(R7:R14)</f>
        <v>0</v>
      </c>
    </row>
    <row r="16" spans="3:18" ht="13.5" thickBot="1" x14ac:dyDescent="0.25">
      <c r="I16" s="179"/>
      <c r="J16" s="179"/>
      <c r="K16" s="179"/>
      <c r="L16" s="179"/>
      <c r="M16" s="179"/>
    </row>
    <row r="17" spans="3:15" ht="21" thickBot="1" x14ac:dyDescent="0.25">
      <c r="C17" s="155"/>
      <c r="D17" s="154"/>
      <c r="E17" s="154"/>
      <c r="F17" s="154"/>
      <c r="K17" s="295" t="s">
        <v>211</v>
      </c>
      <c r="L17" s="296"/>
      <c r="M17" s="296"/>
      <c r="N17" s="296"/>
      <c r="O17" s="297"/>
    </row>
    <row r="18" spans="3:15" ht="15" x14ac:dyDescent="0.25">
      <c r="C18" s="286" t="s">
        <v>197</v>
      </c>
      <c r="D18" s="287"/>
      <c r="E18" s="287"/>
      <c r="F18" s="287"/>
      <c r="G18" s="288"/>
      <c r="K18" s="164" t="s">
        <v>205</v>
      </c>
      <c r="L18" s="165" t="s">
        <v>206</v>
      </c>
      <c r="M18" s="165" t="s">
        <v>83</v>
      </c>
      <c r="N18" s="165" t="s">
        <v>207</v>
      </c>
      <c r="O18" s="166" t="s">
        <v>82</v>
      </c>
    </row>
    <row r="19" spans="3:15" x14ac:dyDescent="0.2">
      <c r="C19" s="149"/>
      <c r="D19" s="150" t="s">
        <v>154</v>
      </c>
      <c r="E19" s="150" t="s">
        <v>80</v>
      </c>
      <c r="F19" s="150" t="s">
        <v>0</v>
      </c>
      <c r="G19" s="151" t="s">
        <v>79</v>
      </c>
      <c r="K19" s="152"/>
      <c r="O19" s="153"/>
    </row>
    <row r="20" spans="3:15" x14ac:dyDescent="0.2">
      <c r="C20" s="149" t="s">
        <v>202</v>
      </c>
      <c r="D20" s="154">
        <v>0.95</v>
      </c>
      <c r="E20" s="154">
        <v>2.1</v>
      </c>
      <c r="F20" s="154">
        <v>1</v>
      </c>
      <c r="G20" s="157">
        <f>F20*E20*D20</f>
        <v>1.9949999999999999</v>
      </c>
      <c r="J20" s="72"/>
      <c r="K20" s="178"/>
      <c r="L20" s="179"/>
      <c r="M20" s="171"/>
      <c r="N20" s="179"/>
      <c r="O20" s="176"/>
    </row>
    <row r="21" spans="3:15" x14ac:dyDescent="0.2">
      <c r="C21" s="149" t="s">
        <v>203</v>
      </c>
      <c r="D21" s="154">
        <v>0.9</v>
      </c>
      <c r="E21" s="154">
        <v>2.14</v>
      </c>
      <c r="F21" s="154">
        <v>1</v>
      </c>
      <c r="G21" s="157">
        <f>F21*E21*D21</f>
        <v>1.9260000000000002</v>
      </c>
      <c r="J21" s="72"/>
      <c r="K21" s="178"/>
      <c r="L21" s="189"/>
      <c r="M21" s="171"/>
      <c r="N21" s="179"/>
      <c r="O21" s="176"/>
    </row>
    <row r="22" spans="3:15" x14ac:dyDescent="0.2">
      <c r="C22" s="149"/>
      <c r="D22" s="154"/>
      <c r="E22" s="154"/>
      <c r="F22" s="154"/>
      <c r="G22" s="157"/>
      <c r="J22" s="72"/>
      <c r="K22" s="178"/>
      <c r="L22" s="179"/>
      <c r="M22" s="171"/>
      <c r="N22" s="179"/>
      <c r="O22" s="176"/>
    </row>
    <row r="23" spans="3:15" ht="13.5" thickBot="1" x14ac:dyDescent="0.25">
      <c r="C23" s="158" t="s">
        <v>53</v>
      </c>
      <c r="D23" s="161"/>
      <c r="E23" s="161"/>
      <c r="F23" s="162">
        <f>SUM(F20:F22)</f>
        <v>2</v>
      </c>
      <c r="G23" s="160">
        <f>SUM(G20:G22)</f>
        <v>3.9210000000000003</v>
      </c>
      <c r="J23" s="72"/>
      <c r="K23" s="178"/>
      <c r="L23" s="189"/>
      <c r="M23" s="171"/>
      <c r="N23" s="179"/>
      <c r="O23" s="176"/>
    </row>
    <row r="24" spans="3:15" x14ac:dyDescent="0.2">
      <c r="J24" s="72"/>
      <c r="K24" s="280"/>
      <c r="L24" s="281"/>
      <c r="M24" s="281"/>
      <c r="N24" s="281"/>
      <c r="O24" s="282"/>
    </row>
    <row r="25" spans="3:15" x14ac:dyDescent="0.2">
      <c r="J25" s="72"/>
      <c r="K25" s="280"/>
      <c r="L25" s="281"/>
      <c r="M25" s="281"/>
      <c r="N25" s="281"/>
      <c r="O25" s="282"/>
    </row>
    <row r="26" spans="3:15" x14ac:dyDescent="0.2">
      <c r="J26" s="72"/>
      <c r="K26" s="190"/>
      <c r="L26" s="191"/>
      <c r="M26" s="191"/>
      <c r="N26" s="191"/>
      <c r="O26" s="192"/>
    </row>
    <row r="27" spans="3:15" x14ac:dyDescent="0.2">
      <c r="K27" s="178"/>
      <c r="L27" s="179"/>
      <c r="M27" s="179"/>
      <c r="N27" s="179"/>
      <c r="O27" s="183"/>
    </row>
    <row r="28" spans="3:15" ht="13.5" thickBot="1" x14ac:dyDescent="0.25">
      <c r="K28" s="184" t="s">
        <v>53</v>
      </c>
      <c r="L28" s="185"/>
      <c r="M28" s="185">
        <f>SUM(M20:M27)</f>
        <v>0</v>
      </c>
      <c r="N28" s="185"/>
      <c r="O28" s="193">
        <f>SUM(O20:O27)</f>
        <v>0</v>
      </c>
    </row>
  </sheetData>
  <mergeCells count="8">
    <mergeCell ref="K24:O24"/>
    <mergeCell ref="K25:O25"/>
    <mergeCell ref="I3:R3"/>
    <mergeCell ref="C4:G4"/>
    <mergeCell ref="I4:M4"/>
    <mergeCell ref="N4:R4"/>
    <mergeCell ref="K17:O17"/>
    <mergeCell ref="C18:G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1C30-3A3D-43D1-A67D-826ED26E1641}">
  <sheetPr>
    <tabColor rgb="FFFF0000"/>
  </sheetPr>
  <dimension ref="A1:X56"/>
  <sheetViews>
    <sheetView zoomScale="115" zoomScaleNormal="115" workbookViewId="0">
      <selection activeCell="K22" sqref="K22"/>
    </sheetView>
  </sheetViews>
  <sheetFormatPr defaultRowHeight="12.75" x14ac:dyDescent="0.2"/>
  <cols>
    <col min="1" max="1" width="12.28515625" customWidth="1"/>
    <col min="2" max="2" width="9.85546875" customWidth="1"/>
    <col min="3" max="3" width="13.28515625" customWidth="1"/>
    <col min="5" max="5" width="3.42578125" customWidth="1"/>
    <col min="6" max="6" width="8.5703125" customWidth="1"/>
    <col min="7" max="7" width="5.140625" customWidth="1"/>
    <col min="8" max="8" width="18.85546875" bestFit="1" customWidth="1"/>
    <col min="9" max="9" width="9.42578125" customWidth="1"/>
    <col min="10" max="10" width="13.28515625" customWidth="1"/>
    <col min="11" max="11" width="10.42578125" customWidth="1"/>
    <col min="12" max="12" width="5" customWidth="1"/>
    <col min="14" max="14" width="9.85546875" customWidth="1"/>
    <col min="15" max="15" width="9.140625" customWidth="1"/>
    <col min="16" max="16" width="8.28515625" customWidth="1"/>
    <col min="17" max="17" width="9.85546875" customWidth="1"/>
    <col min="18" max="18" width="10.42578125" customWidth="1"/>
    <col min="19" max="19" width="8.85546875" customWidth="1"/>
    <col min="20" max="20" width="8.7109375" customWidth="1"/>
    <col min="21" max="21" width="8" customWidth="1"/>
    <col min="23" max="23" width="10.28515625" bestFit="1" customWidth="1"/>
  </cols>
  <sheetData>
    <row r="1" spans="1:24" x14ac:dyDescent="0.2">
      <c r="A1" s="307" t="s">
        <v>146</v>
      </c>
      <c r="B1" s="308"/>
      <c r="C1" s="308"/>
      <c r="D1" s="309"/>
      <c r="E1" s="88"/>
      <c r="F1" s="298" t="s">
        <v>174</v>
      </c>
      <c r="G1" s="91"/>
      <c r="H1" s="307" t="s">
        <v>147</v>
      </c>
      <c r="I1" s="308"/>
      <c r="J1" s="308"/>
      <c r="K1" s="309"/>
      <c r="L1" s="91"/>
      <c r="M1" s="111" t="s">
        <v>165</v>
      </c>
      <c r="N1" s="112" t="s">
        <v>167</v>
      </c>
      <c r="O1" s="207" t="s">
        <v>178</v>
      </c>
      <c r="P1" s="208" t="s">
        <v>79</v>
      </c>
      <c r="R1" s="111" t="s">
        <v>165</v>
      </c>
      <c r="S1" s="112" t="s">
        <v>167</v>
      </c>
      <c r="T1" s="207" t="s">
        <v>178</v>
      </c>
      <c r="U1" s="208" t="s">
        <v>79</v>
      </c>
    </row>
    <row r="2" spans="1:24" x14ac:dyDescent="0.2">
      <c r="A2" s="119"/>
      <c r="B2" s="86" t="s">
        <v>178</v>
      </c>
      <c r="C2" s="86" t="s">
        <v>148</v>
      </c>
      <c r="D2" s="120"/>
      <c r="E2" s="91"/>
      <c r="F2" s="299"/>
      <c r="G2" s="91"/>
      <c r="H2" s="119"/>
      <c r="I2" s="86" t="s">
        <v>178</v>
      </c>
      <c r="J2" s="86" t="s">
        <v>148</v>
      </c>
      <c r="K2" s="120"/>
      <c r="L2" s="91"/>
      <c r="M2" s="92" t="s">
        <v>166</v>
      </c>
      <c r="N2" s="93" t="s">
        <v>169</v>
      </c>
      <c r="O2" s="233"/>
      <c r="P2" s="209"/>
      <c r="R2" s="102" t="s">
        <v>151</v>
      </c>
      <c r="S2" s="93" t="s">
        <v>169</v>
      </c>
      <c r="T2" s="233"/>
      <c r="U2" s="209"/>
    </row>
    <row r="3" spans="1:24" x14ac:dyDescent="0.2">
      <c r="A3" s="121" t="s">
        <v>149</v>
      </c>
      <c r="B3" s="124"/>
      <c r="C3" s="95">
        <f>$F$3</f>
        <v>0</v>
      </c>
      <c r="D3" s="130">
        <f>B3*C3</f>
        <v>0</v>
      </c>
      <c r="E3" s="91"/>
      <c r="F3" s="94"/>
      <c r="G3" s="91"/>
      <c r="H3" s="122" t="s">
        <v>161</v>
      </c>
      <c r="I3" s="95">
        <f>SUM(O2:O10)</f>
        <v>0</v>
      </c>
      <c r="J3" s="95">
        <f>$F$3</f>
        <v>0</v>
      </c>
      <c r="K3" s="131">
        <f>PRODUCT(I3,J3)</f>
        <v>0</v>
      </c>
      <c r="L3" s="136"/>
      <c r="M3" s="92" t="s">
        <v>166</v>
      </c>
      <c r="N3" s="93" t="s">
        <v>169</v>
      </c>
      <c r="O3" s="233"/>
      <c r="P3" s="209"/>
      <c r="Q3" s="134"/>
      <c r="R3" s="102" t="s">
        <v>151</v>
      </c>
      <c r="S3" s="93" t="s">
        <v>169</v>
      </c>
      <c r="T3" s="233"/>
      <c r="U3" s="209"/>
    </row>
    <row r="4" spans="1:24" x14ac:dyDescent="0.2">
      <c r="A4" s="121" t="s">
        <v>150</v>
      </c>
      <c r="B4" s="124"/>
      <c r="C4" s="95">
        <v>0.3</v>
      </c>
      <c r="D4" s="130">
        <f t="shared" ref="D4:D5" si="0">B4*C4</f>
        <v>0</v>
      </c>
      <c r="E4" s="91"/>
      <c r="F4" s="91"/>
      <c r="G4" s="91"/>
      <c r="H4" s="123" t="s">
        <v>162</v>
      </c>
      <c r="I4" s="97">
        <f>SUM(O11:O13)</f>
        <v>0</v>
      </c>
      <c r="J4" s="95">
        <f>$F$3</f>
        <v>0</v>
      </c>
      <c r="K4" s="131">
        <f>PRODUCT(I4,J4)</f>
        <v>0</v>
      </c>
      <c r="L4" s="136"/>
      <c r="M4" s="92" t="s">
        <v>166</v>
      </c>
      <c r="N4" s="93" t="s">
        <v>169</v>
      </c>
      <c r="O4" s="233"/>
      <c r="P4" s="209"/>
      <c r="Q4" s="134"/>
      <c r="R4" s="102" t="s">
        <v>151</v>
      </c>
      <c r="S4" s="93" t="s">
        <v>169</v>
      </c>
      <c r="T4" s="233"/>
      <c r="U4" s="209"/>
    </row>
    <row r="5" spans="1:24" x14ac:dyDescent="0.2">
      <c r="A5" s="121" t="s">
        <v>151</v>
      </c>
      <c r="B5" s="124"/>
      <c r="C5" s="95">
        <f>F7</f>
        <v>0</v>
      </c>
      <c r="D5" s="130">
        <f t="shared" si="0"/>
        <v>0</v>
      </c>
      <c r="E5" s="91"/>
      <c r="F5" s="311" t="s">
        <v>170</v>
      </c>
      <c r="G5" s="91"/>
      <c r="H5" s="122" t="s">
        <v>163</v>
      </c>
      <c r="I5" s="98">
        <f>SUM(T2:T10)</f>
        <v>0</v>
      </c>
      <c r="J5" s="95">
        <f>$F$7</f>
        <v>0</v>
      </c>
      <c r="K5" s="131">
        <f>PRODUCT(I5,J5)</f>
        <v>0</v>
      </c>
      <c r="L5" s="128"/>
      <c r="M5" s="92" t="s">
        <v>166</v>
      </c>
      <c r="N5" s="93" t="s">
        <v>169</v>
      </c>
      <c r="O5" s="233"/>
      <c r="P5" s="209"/>
      <c r="Q5" s="134"/>
      <c r="R5" s="102" t="s">
        <v>151</v>
      </c>
      <c r="S5" s="93" t="s">
        <v>169</v>
      </c>
      <c r="T5" s="233"/>
      <c r="U5" s="209"/>
    </row>
    <row r="6" spans="1:24" ht="13.5" thickBot="1" x14ac:dyDescent="0.25">
      <c r="A6" s="115"/>
      <c r="B6" s="116"/>
      <c r="C6" s="103" t="s">
        <v>152</v>
      </c>
      <c r="D6" s="125">
        <f>D3+D4+D5</f>
        <v>0</v>
      </c>
      <c r="E6" s="91"/>
      <c r="F6" s="299"/>
      <c r="G6" s="91"/>
      <c r="H6" s="123" t="s">
        <v>164</v>
      </c>
      <c r="I6" s="98">
        <f>SUM(T11:T13)</f>
        <v>0</v>
      </c>
      <c r="J6" s="95">
        <f>$F$7</f>
        <v>0</v>
      </c>
      <c r="K6" s="131">
        <f>PRODUCT(I6,J6)</f>
        <v>0</v>
      </c>
      <c r="L6" s="136"/>
      <c r="M6" s="92" t="s">
        <v>166</v>
      </c>
      <c r="N6" s="93" t="s">
        <v>169</v>
      </c>
      <c r="O6" s="233"/>
      <c r="P6" s="209"/>
      <c r="Q6" s="134"/>
      <c r="R6" s="102" t="s">
        <v>151</v>
      </c>
      <c r="S6" s="93" t="s">
        <v>169</v>
      </c>
      <c r="T6" s="233"/>
      <c r="U6" s="209"/>
    </row>
    <row r="7" spans="1:24" ht="13.5" thickBot="1" x14ac:dyDescent="0.25">
      <c r="A7" s="91"/>
      <c r="B7" s="91"/>
      <c r="C7" s="99"/>
      <c r="D7" s="91"/>
      <c r="E7" s="91"/>
      <c r="F7" s="94"/>
      <c r="G7" s="91"/>
      <c r="H7" s="133" t="s">
        <v>217</v>
      </c>
      <c r="I7" s="227">
        <f>I3+I4+I5+I6</f>
        <v>0</v>
      </c>
      <c r="J7" s="103" t="s">
        <v>45</v>
      </c>
      <c r="K7" s="127">
        <f>K3+K4+K5+K6</f>
        <v>0</v>
      </c>
      <c r="L7" s="136"/>
      <c r="M7" s="92" t="s">
        <v>166</v>
      </c>
      <c r="N7" s="93" t="s">
        <v>169</v>
      </c>
      <c r="O7" s="233"/>
      <c r="P7" s="209"/>
      <c r="Q7" s="134"/>
      <c r="R7" s="102" t="s">
        <v>151</v>
      </c>
      <c r="S7" s="93" t="s">
        <v>169</v>
      </c>
      <c r="T7" s="233"/>
      <c r="U7" s="209"/>
    </row>
    <row r="8" spans="1:24" ht="13.5" thickBot="1" x14ac:dyDescent="0.25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129"/>
      <c r="M8" s="92" t="s">
        <v>166</v>
      </c>
      <c r="N8" s="93" t="s">
        <v>169</v>
      </c>
      <c r="O8" s="233"/>
      <c r="P8" s="209"/>
      <c r="Q8" s="134"/>
      <c r="R8" s="102" t="s">
        <v>151</v>
      </c>
      <c r="S8" s="93" t="s">
        <v>169</v>
      </c>
      <c r="T8" s="233"/>
      <c r="U8" s="209"/>
    </row>
    <row r="9" spans="1:24" x14ac:dyDescent="0.2">
      <c r="A9" s="315" t="s">
        <v>179</v>
      </c>
      <c r="B9" s="316"/>
      <c r="C9" s="316"/>
      <c r="D9" s="317"/>
      <c r="E9" s="91"/>
      <c r="H9" s="328" t="s">
        <v>180</v>
      </c>
      <c r="I9" s="329"/>
      <c r="J9" s="329"/>
      <c r="K9" s="330"/>
      <c r="L9" s="129"/>
      <c r="M9" s="92" t="s">
        <v>166</v>
      </c>
      <c r="N9" s="93" t="s">
        <v>169</v>
      </c>
      <c r="O9" s="233"/>
      <c r="P9" s="209"/>
      <c r="Q9" s="224" t="s">
        <v>53</v>
      </c>
      <c r="R9" s="102" t="s">
        <v>151</v>
      </c>
      <c r="S9" s="93" t="s">
        <v>169</v>
      </c>
      <c r="T9" s="233"/>
      <c r="U9" s="209"/>
      <c r="V9" s="219" t="s">
        <v>53</v>
      </c>
    </row>
    <row r="10" spans="1:24" ht="13.5" thickBot="1" x14ac:dyDescent="0.25">
      <c r="A10" s="87" t="s">
        <v>0</v>
      </c>
      <c r="B10" s="90" t="s">
        <v>178</v>
      </c>
      <c r="C10" s="90" t="s">
        <v>157</v>
      </c>
      <c r="D10" s="109"/>
      <c r="E10" s="91"/>
      <c r="H10" s="87" t="s">
        <v>0</v>
      </c>
      <c r="I10" s="90" t="s">
        <v>178</v>
      </c>
      <c r="J10" s="90" t="s">
        <v>157</v>
      </c>
      <c r="K10" s="109"/>
      <c r="L10" s="129"/>
      <c r="M10" s="92" t="s">
        <v>166</v>
      </c>
      <c r="N10" s="93" t="s">
        <v>169</v>
      </c>
      <c r="O10" s="233"/>
      <c r="P10" s="209"/>
      <c r="Q10" s="225">
        <f>SUM(P2:P10)</f>
        <v>0</v>
      </c>
      <c r="R10" s="102" t="s">
        <v>151</v>
      </c>
      <c r="S10" s="93" t="s">
        <v>169</v>
      </c>
      <c r="T10" s="233"/>
      <c r="U10" s="209"/>
      <c r="V10" s="220">
        <f>SUM(U2:U10)</f>
        <v>0</v>
      </c>
    </row>
    <row r="11" spans="1:24" ht="13.5" thickBot="1" x14ac:dyDescent="0.25">
      <c r="A11" s="121"/>
      <c r="B11" s="124"/>
      <c r="C11" s="124"/>
      <c r="D11" s="130">
        <f>A11*B11*C11</f>
        <v>0</v>
      </c>
      <c r="E11" s="91"/>
      <c r="H11" s="121"/>
      <c r="I11" s="124"/>
      <c r="J11" s="124"/>
      <c r="K11" s="130">
        <f>I11*J11</f>
        <v>0</v>
      </c>
      <c r="L11" s="129"/>
      <c r="M11" s="92" t="s">
        <v>166</v>
      </c>
      <c r="N11" s="96" t="s">
        <v>168</v>
      </c>
      <c r="O11" s="233"/>
      <c r="P11" s="209"/>
      <c r="Q11" s="134"/>
      <c r="R11" s="102" t="s">
        <v>151</v>
      </c>
      <c r="S11" s="96" t="s">
        <v>168</v>
      </c>
      <c r="T11" s="233"/>
      <c r="U11" s="209"/>
    </row>
    <row r="12" spans="1:24" x14ac:dyDescent="0.2">
      <c r="A12" s="121"/>
      <c r="B12" s="232"/>
      <c r="C12" s="232"/>
      <c r="D12" s="130">
        <f>A12*B12*C12</f>
        <v>0</v>
      </c>
      <c r="E12" s="91"/>
      <c r="H12" s="121"/>
      <c r="I12" s="94"/>
      <c r="J12" s="94"/>
      <c r="K12" s="130">
        <f>I12*J12</f>
        <v>0</v>
      </c>
      <c r="L12" s="129"/>
      <c r="M12" s="92" t="s">
        <v>166</v>
      </c>
      <c r="N12" s="96" t="s">
        <v>168</v>
      </c>
      <c r="O12" s="94"/>
      <c r="P12" s="209"/>
      <c r="Q12" s="226" t="s">
        <v>53</v>
      </c>
      <c r="R12" s="102" t="s">
        <v>151</v>
      </c>
      <c r="S12" s="96" t="s">
        <v>168</v>
      </c>
      <c r="T12" s="94"/>
      <c r="U12" s="209"/>
      <c r="V12" s="221" t="s">
        <v>53</v>
      </c>
    </row>
    <row r="13" spans="1:24" ht="13.5" thickBot="1" x14ac:dyDescent="0.25">
      <c r="A13" s="319" t="s">
        <v>184</v>
      </c>
      <c r="B13" s="320"/>
      <c r="C13" s="321"/>
      <c r="D13" s="125">
        <f>SUM(D11:D12)</f>
        <v>0</v>
      </c>
      <c r="E13" s="91"/>
      <c r="H13" s="331" t="s">
        <v>184</v>
      </c>
      <c r="I13" s="332"/>
      <c r="J13" s="332"/>
      <c r="K13" s="125">
        <f>SUM(K11,K12)</f>
        <v>0</v>
      </c>
      <c r="L13" s="129"/>
      <c r="M13" s="92" t="s">
        <v>166</v>
      </c>
      <c r="N13" s="96" t="s">
        <v>168</v>
      </c>
      <c r="O13" s="94"/>
      <c r="P13" s="209"/>
      <c r="Q13" s="225">
        <f>SUM(P11:P14)</f>
        <v>0</v>
      </c>
      <c r="R13" s="102" t="s">
        <v>151</v>
      </c>
      <c r="S13" s="96" t="s">
        <v>168</v>
      </c>
      <c r="T13" s="94"/>
      <c r="U13" s="209"/>
      <c r="V13" s="220">
        <f>SUM(U11:U14)</f>
        <v>0</v>
      </c>
    </row>
    <row r="14" spans="1:24" ht="13.5" thickBot="1" x14ac:dyDescent="0.25">
      <c r="A14" s="91"/>
      <c r="B14" s="91"/>
      <c r="C14" s="91"/>
      <c r="D14" s="91"/>
      <c r="E14" s="91"/>
      <c r="I14" s="91"/>
      <c r="J14" s="91"/>
      <c r="K14" s="91"/>
      <c r="L14" s="129"/>
      <c r="M14" s="101" t="s">
        <v>166</v>
      </c>
      <c r="N14" s="222" t="s">
        <v>215</v>
      </c>
      <c r="O14" s="223"/>
      <c r="P14" s="210"/>
      <c r="Q14" s="134"/>
      <c r="R14" s="211" t="s">
        <v>151</v>
      </c>
      <c r="S14" s="222" t="s">
        <v>216</v>
      </c>
      <c r="T14" s="223"/>
      <c r="U14" s="210"/>
    </row>
    <row r="15" spans="1:24" ht="13.5" thickBot="1" x14ac:dyDescent="0.25">
      <c r="A15" s="91"/>
      <c r="B15" s="91"/>
      <c r="C15" s="91"/>
      <c r="D15" s="91"/>
      <c r="E15" s="91"/>
      <c r="I15" s="91"/>
      <c r="J15" s="91"/>
      <c r="K15" s="91"/>
      <c r="L15" s="129"/>
      <c r="Q15" s="134"/>
    </row>
    <row r="16" spans="1:24" x14ac:dyDescent="0.2">
      <c r="A16" s="104" t="s">
        <v>158</v>
      </c>
      <c r="B16" s="142"/>
      <c r="C16" s="342" t="s">
        <v>186</v>
      </c>
      <c r="D16" s="345">
        <f>B16+B17+B18</f>
        <v>0</v>
      </c>
      <c r="E16" s="91"/>
      <c r="F16" s="91"/>
      <c r="H16" s="104" t="s">
        <v>158</v>
      </c>
      <c r="I16" s="142"/>
      <c r="J16" s="333" t="s">
        <v>186</v>
      </c>
      <c r="K16" s="345">
        <f>I16+I17+I18</f>
        <v>0</v>
      </c>
      <c r="L16" s="129"/>
      <c r="M16" s="322" t="s">
        <v>146</v>
      </c>
      <c r="N16" s="323"/>
      <c r="O16" s="324"/>
      <c r="Q16" s="134"/>
      <c r="R16" s="322" t="s">
        <v>81</v>
      </c>
      <c r="S16" s="323"/>
      <c r="T16" s="324"/>
      <c r="V16" s="336" t="s">
        <v>218</v>
      </c>
      <c r="W16" s="337"/>
      <c r="X16" s="338"/>
    </row>
    <row r="17" spans="1:24" x14ac:dyDescent="0.2">
      <c r="A17" s="105" t="s">
        <v>159</v>
      </c>
      <c r="B17" s="94"/>
      <c r="C17" s="343"/>
      <c r="D17" s="346"/>
      <c r="E17" s="91"/>
      <c r="F17" s="91"/>
      <c r="H17" s="105" t="s">
        <v>159</v>
      </c>
      <c r="I17" s="94"/>
      <c r="J17" s="334"/>
      <c r="K17" s="346"/>
      <c r="L17" s="129"/>
      <c r="M17" s="107"/>
      <c r="N17" s="100" t="s">
        <v>171</v>
      </c>
      <c r="O17" s="109" t="s">
        <v>83</v>
      </c>
      <c r="Q17" s="134"/>
      <c r="R17" s="107"/>
      <c r="S17" s="100" t="s">
        <v>171</v>
      </c>
      <c r="T17" s="109" t="s">
        <v>83</v>
      </c>
      <c r="V17" s="212"/>
      <c r="W17" s="100" t="s">
        <v>44</v>
      </c>
      <c r="X17" s="109" t="s">
        <v>0</v>
      </c>
    </row>
    <row r="18" spans="1:24" ht="13.5" thickBot="1" x14ac:dyDescent="0.25">
      <c r="A18" s="106" t="s">
        <v>160</v>
      </c>
      <c r="B18" s="132"/>
      <c r="C18" s="344"/>
      <c r="D18" s="347"/>
      <c r="E18" s="91"/>
      <c r="F18" s="91"/>
      <c r="H18" s="106" t="s">
        <v>160</v>
      </c>
      <c r="I18" s="132"/>
      <c r="J18" s="335"/>
      <c r="K18" s="347"/>
      <c r="L18" s="129"/>
      <c r="M18" s="133" t="s">
        <v>53</v>
      </c>
      <c r="N18" s="143">
        <f>D6+D13+D16</f>
        <v>0</v>
      </c>
      <c r="O18" s="144">
        <f>N18-D37</f>
        <v>0</v>
      </c>
      <c r="Q18" s="134"/>
      <c r="R18" s="113" t="s">
        <v>169</v>
      </c>
      <c r="S18" s="143">
        <f>K3+K5+K13+K16</f>
        <v>0</v>
      </c>
      <c r="T18" s="144">
        <f>S18-K32</f>
        <v>0</v>
      </c>
      <c r="V18" s="113" t="s">
        <v>169</v>
      </c>
      <c r="W18" s="215">
        <f>Q10+V10</f>
        <v>0</v>
      </c>
      <c r="X18" s="217">
        <f>W18/3</f>
        <v>0</v>
      </c>
    </row>
    <row r="19" spans="1:24" ht="13.5" thickBot="1" x14ac:dyDescent="0.25">
      <c r="A19" s="91"/>
      <c r="B19" s="91"/>
      <c r="C19" s="91"/>
      <c r="D19" s="91"/>
      <c r="E19" s="91"/>
      <c r="F19" s="91"/>
      <c r="H19" s="91"/>
      <c r="I19" s="91"/>
      <c r="J19" s="91"/>
      <c r="K19" s="91"/>
      <c r="L19" s="129"/>
      <c r="M19" s="137"/>
      <c r="N19" s="124"/>
      <c r="O19" s="138"/>
      <c r="Q19" s="134"/>
      <c r="R19" s="114" t="s">
        <v>168</v>
      </c>
      <c r="S19" s="143">
        <f>K4+K6</f>
        <v>0</v>
      </c>
      <c r="T19" s="144">
        <f>S19-K37</f>
        <v>0</v>
      </c>
      <c r="V19" s="213" t="s">
        <v>168</v>
      </c>
      <c r="W19" s="216">
        <f>Q13+V13+P14+U14</f>
        <v>0</v>
      </c>
      <c r="X19" s="218">
        <f>W19/3</f>
        <v>0</v>
      </c>
    </row>
    <row r="20" spans="1:24" ht="13.5" thickBot="1" x14ac:dyDescent="0.25">
      <c r="A20" s="315" t="s">
        <v>153</v>
      </c>
      <c r="B20" s="316"/>
      <c r="C20" s="316"/>
      <c r="D20" s="317"/>
      <c r="E20" s="89"/>
      <c r="F20" s="91"/>
      <c r="G20" s="300" t="s">
        <v>182</v>
      </c>
      <c r="H20" s="301"/>
      <c r="I20" s="301"/>
      <c r="J20" s="301"/>
      <c r="K20" s="302"/>
      <c r="L20" s="91"/>
      <c r="M20" s="139"/>
      <c r="N20" s="140"/>
      <c r="O20" s="141"/>
      <c r="Q20" s="134"/>
      <c r="R20" s="133" t="s">
        <v>53</v>
      </c>
      <c r="S20" s="145">
        <f>K7+K13+K16</f>
        <v>0</v>
      </c>
      <c r="T20" s="146">
        <f>S20-K38</f>
        <v>0</v>
      </c>
    </row>
    <row r="21" spans="1:24" ht="13.5" thickBot="1" x14ac:dyDescent="0.25">
      <c r="A21" s="118" t="s">
        <v>0</v>
      </c>
      <c r="B21" s="110" t="s">
        <v>154</v>
      </c>
      <c r="C21" s="110" t="s">
        <v>80</v>
      </c>
      <c r="D21" s="109"/>
      <c r="E21" s="91"/>
      <c r="F21" s="91"/>
      <c r="G21" s="118" t="s">
        <v>155</v>
      </c>
      <c r="H21" s="110" t="s">
        <v>0</v>
      </c>
      <c r="I21" s="110" t="s">
        <v>154</v>
      </c>
      <c r="J21" s="110" t="s">
        <v>80</v>
      </c>
      <c r="K21" s="109"/>
      <c r="L21" s="91"/>
      <c r="V21" s="230"/>
      <c r="W21" s="228" t="s">
        <v>219</v>
      </c>
      <c r="X21" s="229" t="s">
        <v>0</v>
      </c>
    </row>
    <row r="22" spans="1:24" ht="13.5" thickBot="1" x14ac:dyDescent="0.25">
      <c r="A22" s="121"/>
      <c r="B22" s="94"/>
      <c r="C22" s="94"/>
      <c r="D22" s="130">
        <f t="shared" ref="D22:D31" si="1">A22*B22*C22</f>
        <v>0</v>
      </c>
      <c r="E22" s="91"/>
      <c r="F22" s="91"/>
      <c r="G22" s="121"/>
      <c r="H22" s="121"/>
      <c r="I22" s="94"/>
      <c r="J22" s="94"/>
      <c r="K22" s="131">
        <f t="shared" ref="K22:K31" si="2">G22*H22*I22*J22</f>
        <v>0</v>
      </c>
      <c r="L22" s="117"/>
      <c r="M22" s="303" t="s">
        <v>41</v>
      </c>
      <c r="N22" s="304"/>
      <c r="O22" s="305"/>
      <c r="Q22" s="134"/>
      <c r="R22" s="303" t="s">
        <v>42</v>
      </c>
      <c r="S22" s="304"/>
      <c r="T22" s="305"/>
      <c r="V22" s="115" t="s">
        <v>59</v>
      </c>
      <c r="W22" s="231">
        <f>I7+O14+T14</f>
        <v>0</v>
      </c>
      <c r="X22" s="214">
        <f>W22/2.5</f>
        <v>0</v>
      </c>
    </row>
    <row r="23" spans="1:24" x14ac:dyDescent="0.2">
      <c r="A23" s="121"/>
      <c r="B23" s="94"/>
      <c r="C23" s="94"/>
      <c r="D23" s="130">
        <f>A23*B23*C23</f>
        <v>0</v>
      </c>
      <c r="E23" s="91"/>
      <c r="F23" s="91"/>
      <c r="G23" s="121"/>
      <c r="H23" s="121"/>
      <c r="I23" s="94"/>
      <c r="J23" s="94"/>
      <c r="K23" s="131">
        <f t="shared" si="2"/>
        <v>0</v>
      </c>
      <c r="L23" s="117"/>
      <c r="M23" s="107"/>
      <c r="N23" s="108" t="s">
        <v>212</v>
      </c>
      <c r="O23" s="109" t="s">
        <v>0</v>
      </c>
      <c r="R23" s="107"/>
      <c r="S23" s="108" t="s">
        <v>213</v>
      </c>
      <c r="T23" s="109" t="s">
        <v>0</v>
      </c>
    </row>
    <row r="24" spans="1:24" x14ac:dyDescent="0.2">
      <c r="A24" s="121"/>
      <c r="B24" s="94"/>
      <c r="C24" s="94"/>
      <c r="D24" s="130">
        <f>A24*B24*C24</f>
        <v>0</v>
      </c>
      <c r="E24" s="91"/>
      <c r="F24" s="91"/>
      <c r="G24" s="121"/>
      <c r="H24" s="121"/>
      <c r="I24" s="94"/>
      <c r="J24" s="94"/>
      <c r="K24" s="131">
        <f>G24*H24*I24*J24</f>
        <v>0</v>
      </c>
      <c r="L24" s="117"/>
      <c r="M24" s="306" t="s">
        <v>185</v>
      </c>
      <c r="N24" s="310">
        <f>O18+(O18*(8/100))</f>
        <v>0</v>
      </c>
      <c r="O24" s="314">
        <f>N24/(1.2*2.4)</f>
        <v>0</v>
      </c>
      <c r="R24" s="306" t="s">
        <v>172</v>
      </c>
      <c r="S24" s="310">
        <f>T18+(T18*(5/100))</f>
        <v>0</v>
      </c>
      <c r="T24" s="314">
        <f>S24/(1.2*2.5)</f>
        <v>0</v>
      </c>
    </row>
    <row r="25" spans="1:24" x14ac:dyDescent="0.2">
      <c r="A25" s="121"/>
      <c r="B25" s="94"/>
      <c r="C25" s="94"/>
      <c r="D25" s="130">
        <f>A25*B25*C25</f>
        <v>0</v>
      </c>
      <c r="E25" s="91"/>
      <c r="F25" s="91"/>
      <c r="G25" s="121"/>
      <c r="H25" s="121"/>
      <c r="I25" s="94"/>
      <c r="J25" s="94"/>
      <c r="K25" s="131">
        <f t="shared" si="2"/>
        <v>0</v>
      </c>
      <c r="L25" s="117"/>
      <c r="M25" s="306"/>
      <c r="N25" s="310"/>
      <c r="O25" s="314"/>
      <c r="R25" s="306"/>
      <c r="S25" s="310"/>
      <c r="T25" s="314"/>
    </row>
    <row r="26" spans="1:24" x14ac:dyDescent="0.2">
      <c r="A26" s="121"/>
      <c r="B26" s="94"/>
      <c r="C26" s="94"/>
      <c r="D26" s="130">
        <f>A26*B26*C26</f>
        <v>0</v>
      </c>
      <c r="E26" s="91"/>
      <c r="F26" s="91"/>
      <c r="G26" s="121"/>
      <c r="H26" s="121"/>
      <c r="I26" s="94"/>
      <c r="J26" s="94"/>
      <c r="K26" s="131">
        <f t="shared" si="2"/>
        <v>0</v>
      </c>
      <c r="L26" s="117"/>
      <c r="M26" s="318" t="s">
        <v>187</v>
      </c>
      <c r="N26" s="310">
        <f>O18+(O18*(8/100))</f>
        <v>0</v>
      </c>
      <c r="O26" s="314">
        <f>N26</f>
        <v>0</v>
      </c>
      <c r="R26" s="318" t="s">
        <v>173</v>
      </c>
      <c r="S26" s="312">
        <f>T19+(T19*(5/100))</f>
        <v>0</v>
      </c>
      <c r="T26" s="314">
        <f>S26/(1.2*2.5)</f>
        <v>0</v>
      </c>
    </row>
    <row r="27" spans="1:24" x14ac:dyDescent="0.2">
      <c r="A27" s="121"/>
      <c r="B27" s="94"/>
      <c r="C27" s="94"/>
      <c r="D27" s="130">
        <f>A27*B27*C27</f>
        <v>0</v>
      </c>
      <c r="E27" s="91"/>
      <c r="F27" s="91"/>
      <c r="G27" s="121"/>
      <c r="H27" s="94"/>
      <c r="I27" s="94"/>
      <c r="J27" s="94"/>
      <c r="K27" s="131">
        <f t="shared" si="2"/>
        <v>0</v>
      </c>
      <c r="L27" s="117"/>
      <c r="M27" s="318"/>
      <c r="N27" s="310"/>
      <c r="O27" s="314"/>
      <c r="R27" s="318"/>
      <c r="S27" s="313"/>
      <c r="T27" s="314"/>
    </row>
    <row r="28" spans="1:24" x14ac:dyDescent="0.2">
      <c r="A28" s="94"/>
      <c r="B28" s="94"/>
      <c r="C28" s="94"/>
      <c r="D28" s="130">
        <f t="shared" si="1"/>
        <v>0</v>
      </c>
      <c r="E28" s="91"/>
      <c r="F28" s="91"/>
      <c r="G28" s="121"/>
      <c r="H28" s="94"/>
      <c r="I28" s="94"/>
      <c r="J28" s="94"/>
      <c r="K28" s="131">
        <f t="shared" si="2"/>
        <v>0</v>
      </c>
      <c r="L28" s="135"/>
      <c r="M28" s="348" t="s">
        <v>188</v>
      </c>
      <c r="N28" s="350">
        <f>O18+(O18*(8/100))</f>
        <v>0</v>
      </c>
      <c r="O28" s="352">
        <f>N28/(1.2*2.5)</f>
        <v>0</v>
      </c>
      <c r="Q28" s="134"/>
      <c r="R28" s="354" t="s">
        <v>183</v>
      </c>
      <c r="S28" s="350">
        <f>T20+(T20*(15/100))</f>
        <v>0</v>
      </c>
      <c r="T28" s="352">
        <f>S28/(1.22*2.44)</f>
        <v>0</v>
      </c>
    </row>
    <row r="29" spans="1:24" ht="13.5" thickBot="1" x14ac:dyDescent="0.25">
      <c r="A29" s="94"/>
      <c r="B29" s="94"/>
      <c r="C29" s="94"/>
      <c r="D29" s="130">
        <f t="shared" si="1"/>
        <v>0</v>
      </c>
      <c r="E29" s="91"/>
      <c r="F29" s="91"/>
      <c r="G29" s="121"/>
      <c r="H29" s="94"/>
      <c r="I29" s="94"/>
      <c r="J29" s="94"/>
      <c r="K29" s="131">
        <f t="shared" si="2"/>
        <v>0</v>
      </c>
      <c r="L29" s="135"/>
      <c r="M29" s="349"/>
      <c r="N29" s="351"/>
      <c r="O29" s="353"/>
      <c r="R29" s="355"/>
      <c r="S29" s="351"/>
      <c r="T29" s="353"/>
    </row>
    <row r="30" spans="1:24" x14ac:dyDescent="0.2">
      <c r="A30" s="206"/>
      <c r="B30" s="94"/>
      <c r="C30" s="94"/>
      <c r="D30" s="130">
        <f t="shared" si="1"/>
        <v>0</v>
      </c>
      <c r="E30" s="91"/>
      <c r="F30" s="91"/>
      <c r="G30" s="121"/>
      <c r="H30" s="94"/>
      <c r="I30" s="94"/>
      <c r="J30" s="94"/>
      <c r="K30" s="131">
        <f t="shared" si="2"/>
        <v>0</v>
      </c>
      <c r="L30" s="135"/>
    </row>
    <row r="31" spans="1:24" x14ac:dyDescent="0.2">
      <c r="A31" s="206"/>
      <c r="B31" s="94"/>
      <c r="C31" s="94"/>
      <c r="D31" s="130">
        <f t="shared" si="1"/>
        <v>0</v>
      </c>
      <c r="E31" s="91"/>
      <c r="F31" s="91"/>
      <c r="G31" s="121"/>
      <c r="H31" s="94"/>
      <c r="I31" s="94"/>
      <c r="J31" s="94"/>
      <c r="K31" s="131">
        <f t="shared" si="2"/>
        <v>0</v>
      </c>
      <c r="L31" s="135"/>
    </row>
    <row r="32" spans="1:24" ht="13.5" thickBot="1" x14ac:dyDescent="0.25">
      <c r="A32" s="121"/>
      <c r="B32" s="94"/>
      <c r="C32" s="94"/>
      <c r="D32" s="130">
        <f>A32*B32*C32</f>
        <v>0</v>
      </c>
      <c r="E32" s="91"/>
      <c r="F32" s="91"/>
      <c r="G32" s="356" t="s">
        <v>176</v>
      </c>
      <c r="H32" s="357"/>
      <c r="I32" s="357"/>
      <c r="J32" s="358"/>
      <c r="K32" s="127">
        <f>SUM(K22:K31)</f>
        <v>0</v>
      </c>
      <c r="L32" s="117"/>
    </row>
    <row r="33" spans="1:20" x14ac:dyDescent="0.2">
      <c r="A33" s="121"/>
      <c r="B33" s="94"/>
      <c r="C33" s="94"/>
      <c r="D33" s="130">
        <f t="shared" ref="D33:D34" si="3">A33*B33*C33</f>
        <v>0</v>
      </c>
      <c r="E33" s="91"/>
      <c r="F33" s="91"/>
      <c r="G33" s="339" t="s">
        <v>181</v>
      </c>
      <c r="H33" s="340"/>
      <c r="I33" s="340"/>
      <c r="J33" s="340"/>
      <c r="K33" s="341"/>
      <c r="L33" s="91"/>
    </row>
    <row r="34" spans="1:20" x14ac:dyDescent="0.2">
      <c r="A34" s="121"/>
      <c r="B34" s="94"/>
      <c r="C34" s="94"/>
      <c r="D34" s="130">
        <f t="shared" si="3"/>
        <v>0</v>
      </c>
      <c r="E34" s="91"/>
      <c r="F34" s="91"/>
      <c r="G34" s="121"/>
      <c r="H34" s="121"/>
      <c r="I34" s="94"/>
      <c r="J34" s="94"/>
      <c r="K34" s="131">
        <f t="shared" ref="K34:K36" si="4">H34*I34*J34*G34</f>
        <v>0</v>
      </c>
      <c r="L34" s="135"/>
    </row>
    <row r="35" spans="1:20" x14ac:dyDescent="0.2">
      <c r="A35" s="121"/>
      <c r="B35" s="94"/>
      <c r="C35" s="94"/>
      <c r="D35" s="130">
        <f>A35*B35*C35</f>
        <v>0</v>
      </c>
      <c r="E35" s="91"/>
      <c r="F35" s="91"/>
      <c r="G35" s="121"/>
      <c r="H35" s="94"/>
      <c r="I35" s="94"/>
      <c r="J35" s="94"/>
      <c r="K35" s="131">
        <f t="shared" si="4"/>
        <v>0</v>
      </c>
      <c r="L35" s="135"/>
    </row>
    <row r="36" spans="1:20" x14ac:dyDescent="0.2">
      <c r="A36" s="121"/>
      <c r="B36" s="94"/>
      <c r="C36" s="94"/>
      <c r="D36" s="130">
        <f>A36*B36*C36</f>
        <v>0</v>
      </c>
      <c r="E36" s="91"/>
      <c r="F36" s="91"/>
      <c r="G36" s="85"/>
      <c r="H36" s="84"/>
      <c r="I36" s="84"/>
      <c r="J36" s="84"/>
      <c r="K36" s="131">
        <f t="shared" si="4"/>
        <v>0</v>
      </c>
      <c r="L36" s="128"/>
      <c r="Q36" s="134"/>
    </row>
    <row r="37" spans="1:20" ht="13.5" thickBot="1" x14ac:dyDescent="0.25">
      <c r="A37" s="115"/>
      <c r="B37" s="116"/>
      <c r="C37" s="103" t="s">
        <v>156</v>
      </c>
      <c r="D37" s="125">
        <f>SUM(D22:D36)</f>
        <v>0</v>
      </c>
      <c r="E37" s="91"/>
      <c r="F37" s="91"/>
      <c r="G37" s="325" t="s">
        <v>177</v>
      </c>
      <c r="H37" s="326"/>
      <c r="I37" s="326"/>
      <c r="J37" s="327"/>
      <c r="K37" s="126">
        <f>SUM(K34:K36)</f>
        <v>0</v>
      </c>
      <c r="L37" s="91"/>
      <c r="Q37" s="134"/>
    </row>
    <row r="38" spans="1:20" ht="13.5" thickBot="1" x14ac:dyDescent="0.25">
      <c r="E38" s="91"/>
      <c r="F38" s="91"/>
      <c r="G38" s="319" t="s">
        <v>175</v>
      </c>
      <c r="H38" s="320"/>
      <c r="I38" s="320"/>
      <c r="J38" s="321"/>
      <c r="K38" s="127">
        <f>SUM(K32+K37)</f>
        <v>0</v>
      </c>
      <c r="L38" s="91"/>
      <c r="Q38" s="134"/>
    </row>
    <row r="39" spans="1:20" x14ac:dyDescent="0.2">
      <c r="A39" s="91"/>
      <c r="B39" s="91"/>
      <c r="C39" s="91"/>
      <c r="D39" s="128"/>
      <c r="E39" s="91"/>
      <c r="F39" s="91"/>
      <c r="G39" s="91"/>
      <c r="H39" s="91"/>
      <c r="I39" s="91"/>
      <c r="J39" s="91"/>
      <c r="K39" s="91"/>
      <c r="L39" s="91"/>
      <c r="Q39" s="134"/>
    </row>
    <row r="41" spans="1:20" x14ac:dyDescent="0.2">
      <c r="R41" s="91"/>
      <c r="S41" s="91"/>
      <c r="T41" s="91"/>
    </row>
    <row r="45" spans="1:20" x14ac:dyDescent="0.2">
      <c r="J45" s="91"/>
      <c r="K45" s="91"/>
      <c r="L45" s="91"/>
    </row>
    <row r="46" spans="1:20" x14ac:dyDescent="0.2">
      <c r="M46" s="91"/>
      <c r="N46" s="91"/>
      <c r="O46" s="91"/>
      <c r="P46" s="91"/>
    </row>
    <row r="47" spans="1:20" x14ac:dyDescent="0.2">
      <c r="M47" s="91"/>
      <c r="N47" s="91"/>
      <c r="O47" s="91"/>
      <c r="P47" s="91"/>
    </row>
    <row r="48" spans="1:20" x14ac:dyDescent="0.2">
      <c r="M48" s="91"/>
      <c r="N48" s="91"/>
      <c r="O48" s="91"/>
      <c r="P48" s="91"/>
    </row>
    <row r="49" spans="1:20" x14ac:dyDescent="0.2">
      <c r="A49" s="91"/>
      <c r="B49" s="91"/>
      <c r="C49" s="91"/>
      <c r="D49" s="91"/>
      <c r="E49" s="91"/>
      <c r="F49" s="91"/>
      <c r="G49" s="91"/>
      <c r="H49" s="91"/>
      <c r="I49" s="91"/>
      <c r="M49" s="91"/>
      <c r="N49" s="91"/>
      <c r="O49" s="91"/>
      <c r="P49" s="91"/>
    </row>
    <row r="50" spans="1:20" x14ac:dyDescent="0.2">
      <c r="D50" s="91"/>
      <c r="E50" s="91"/>
      <c r="F50" s="91"/>
      <c r="G50" s="91"/>
      <c r="H50" s="91"/>
      <c r="M50" s="91"/>
      <c r="N50" s="91"/>
      <c r="O50" s="91"/>
      <c r="P50" s="91"/>
    </row>
    <row r="51" spans="1:20" x14ac:dyDescent="0.2">
      <c r="D51" s="91"/>
      <c r="E51" s="91"/>
      <c r="F51" s="91"/>
      <c r="G51" s="91"/>
      <c r="H51" s="91"/>
      <c r="L51" s="91"/>
      <c r="M51" s="91"/>
      <c r="N51" s="91"/>
      <c r="O51" s="91"/>
      <c r="P51" s="91"/>
    </row>
    <row r="52" spans="1:20" ht="12.75" customHeight="1" x14ac:dyDescent="0.2">
      <c r="D52" s="91"/>
      <c r="E52" s="91"/>
      <c r="F52" s="91"/>
      <c r="L52" s="91"/>
      <c r="M52" s="91"/>
      <c r="N52" s="91"/>
    </row>
    <row r="53" spans="1:20" x14ac:dyDescent="0.2">
      <c r="D53" s="91"/>
      <c r="E53" s="91"/>
      <c r="F53" s="91"/>
      <c r="L53" s="91"/>
      <c r="M53" s="91"/>
      <c r="N53" s="91"/>
    </row>
    <row r="54" spans="1:20" ht="12.75" customHeight="1" x14ac:dyDescent="0.2">
      <c r="D54" s="91"/>
      <c r="E54" s="91"/>
      <c r="F54" s="91"/>
      <c r="L54" s="91"/>
      <c r="M54" s="91"/>
      <c r="N54" s="91"/>
    </row>
    <row r="55" spans="1:20" x14ac:dyDescent="0.2">
      <c r="D55" s="91"/>
      <c r="E55" s="91"/>
      <c r="F55" s="91"/>
      <c r="L55" s="91"/>
      <c r="M55" s="91"/>
      <c r="N55" s="91"/>
    </row>
    <row r="56" spans="1:20" x14ac:dyDescent="0.2">
      <c r="R56" s="91"/>
      <c r="S56" s="91"/>
      <c r="T56" s="91"/>
    </row>
  </sheetData>
  <mergeCells count="41">
    <mergeCell ref="V16:X16"/>
    <mergeCell ref="G33:K33"/>
    <mergeCell ref="C16:C18"/>
    <mergeCell ref="D16:D18"/>
    <mergeCell ref="K16:K18"/>
    <mergeCell ref="M28:M29"/>
    <mergeCell ref="N28:N29"/>
    <mergeCell ref="M22:O22"/>
    <mergeCell ref="M24:M25"/>
    <mergeCell ref="N24:N25"/>
    <mergeCell ref="O24:O25"/>
    <mergeCell ref="O28:O29"/>
    <mergeCell ref="R28:R29"/>
    <mergeCell ref="S28:S29"/>
    <mergeCell ref="T28:T29"/>
    <mergeCell ref="G32:J32"/>
    <mergeCell ref="G37:J37"/>
    <mergeCell ref="G38:J38"/>
    <mergeCell ref="H9:K9"/>
    <mergeCell ref="H13:J13"/>
    <mergeCell ref="J16:J18"/>
    <mergeCell ref="S26:S27"/>
    <mergeCell ref="T24:T25"/>
    <mergeCell ref="T26:T27"/>
    <mergeCell ref="A9:D9"/>
    <mergeCell ref="R26:R27"/>
    <mergeCell ref="M26:M27"/>
    <mergeCell ref="N26:N27"/>
    <mergeCell ref="O26:O27"/>
    <mergeCell ref="A13:C13"/>
    <mergeCell ref="A20:D20"/>
    <mergeCell ref="R16:T16"/>
    <mergeCell ref="M16:O16"/>
    <mergeCell ref="F1:F2"/>
    <mergeCell ref="G20:K20"/>
    <mergeCell ref="R22:T22"/>
    <mergeCell ref="R24:R25"/>
    <mergeCell ref="A1:D1"/>
    <mergeCell ref="S24:S25"/>
    <mergeCell ref="H1:K1"/>
    <mergeCell ref="F5:F6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PREFABRİK</vt:lpstr>
      <vt:lpstr>BÜŞRA NUR</vt:lpstr>
      <vt:lpstr>BOYA HESABI</vt:lpstr>
      <vt:lpstr>PREFABRİK!Yazdırma_Alanı</vt:lpstr>
    </vt:vector>
  </TitlesOfParts>
  <Company>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Loftev - Satış Sonrası Prefabrik</cp:lastModifiedBy>
  <cp:lastPrinted>2025-11-21T12:35:44Z</cp:lastPrinted>
  <dcterms:created xsi:type="dcterms:W3CDTF">2000-04-29T05:09:31Z</dcterms:created>
  <dcterms:modified xsi:type="dcterms:W3CDTF">2025-11-21T13:16:45Z</dcterms:modified>
</cp:coreProperties>
</file>
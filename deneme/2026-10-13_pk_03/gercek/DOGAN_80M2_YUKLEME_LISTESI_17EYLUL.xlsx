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ecae12e264f5e5/TEKNİK OFİS/1- MEVCUT ÇALIŞMALAR/SON ÇALIŞMALAR/PREFABRİK - DOĞAN PORTATİF EV - 81 M2/Malzeme Listesi/"/>
    </mc:Choice>
  </mc:AlternateContent>
  <xr:revisionPtr revIDLastSave="486" documentId="8_{D8D1AB0B-934F-404D-9730-4129320003C9}" xr6:coauthVersionLast="47" xr6:coauthVersionMax="47" xr10:uidLastSave="{80B2B2E1-98CA-4BA9-9D0E-57CD701CAA09}"/>
  <bookViews>
    <workbookView xWindow="28680" yWindow="-900" windowWidth="29040" windowHeight="15720" tabRatio="929" activeTab="1" xr2:uid="{00000000-000D-0000-FFFF-FFFF00000000}"/>
  </bookViews>
  <sheets>
    <sheet name="M2 HESAPLAMA" sheetId="27" r:id="rId1"/>
    <sheet name="PREFABRİK" sheetId="29" r:id="rId2"/>
    <sheet name="BOYA HESABI" sheetId="30" r:id="rId3"/>
    <sheet name="BÜŞRA NUR" sheetId="34" r:id="rId4"/>
    <sheet name="VİDA BİLGİ" sheetId="32" r:id="rId5"/>
  </sheets>
  <definedNames>
    <definedName name="_xlnm._FilterDatabase" localSheetId="1" hidden="1">PREFABRİK!$A$10:$C$11</definedName>
    <definedName name="_xlnm.Print_Area" localSheetId="1">PREFABRİK!$A$1:$F$170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30" l="1"/>
  <c r="R23" i="30"/>
  <c r="F23" i="34"/>
  <c r="G21" i="34"/>
  <c r="G20" i="34"/>
  <c r="G23" i="34" s="1"/>
  <c r="P15" i="34"/>
  <c r="F15" i="34"/>
  <c r="G11" i="34"/>
  <c r="G10" i="34"/>
  <c r="G9" i="34"/>
  <c r="G8" i="34"/>
  <c r="G7" i="34"/>
  <c r="R15" i="34" l="1"/>
  <c r="O28" i="34"/>
  <c r="M28" i="34"/>
  <c r="K15" i="34"/>
  <c r="M15" i="34"/>
  <c r="R8" i="32"/>
  <c r="R7" i="32"/>
  <c r="R5" i="32"/>
  <c r="R11" i="32" s="1"/>
  <c r="D28" i="30" l="1"/>
  <c r="D26" i="30"/>
  <c r="K15" i="30"/>
  <c r="D15" i="30"/>
  <c r="K33" i="30"/>
  <c r="J6" i="30"/>
  <c r="J5" i="30"/>
  <c r="J4" i="30"/>
  <c r="J3" i="30"/>
  <c r="I3" i="30"/>
  <c r="D30" i="30"/>
  <c r="D31" i="30"/>
  <c r="C5" i="30"/>
  <c r="D5" i="30" s="1"/>
  <c r="K31" i="30"/>
  <c r="I6" i="30"/>
  <c r="I5" i="30"/>
  <c r="K5" i="30" s="1"/>
  <c r="I4" i="30"/>
  <c r="C3" i="30"/>
  <c r="D3" i="30" s="1"/>
  <c r="K12" i="30"/>
  <c r="D12" i="30"/>
  <c r="K11" i="30"/>
  <c r="D11" i="30"/>
  <c r="D33" i="30"/>
  <c r="K32" i="30"/>
  <c r="D32" i="30"/>
  <c r="D29" i="30"/>
  <c r="K28" i="30"/>
  <c r="K27" i="30"/>
  <c r="D27" i="30"/>
  <c r="K26" i="30"/>
  <c r="K25" i="30"/>
  <c r="D25" i="30"/>
  <c r="K24" i="30"/>
  <c r="D24" i="30"/>
  <c r="K23" i="30"/>
  <c r="D23" i="30"/>
  <c r="K22" i="30"/>
  <c r="D22" i="30"/>
  <c r="K21" i="30"/>
  <c r="D21" i="30"/>
  <c r="D4" i="30"/>
  <c r="D6" i="30" l="1"/>
  <c r="K4" i="30"/>
  <c r="K3" i="30"/>
  <c r="K29" i="30"/>
  <c r="K34" i="30"/>
  <c r="K13" i="30"/>
  <c r="K6" i="30"/>
  <c r="D13" i="30"/>
  <c r="N17" i="30" s="1"/>
  <c r="D34" i="30"/>
  <c r="O17" i="30" l="1"/>
  <c r="N25" i="30" s="1"/>
  <c r="R17" i="30"/>
  <c r="S17" i="30" s="1"/>
  <c r="K7" i="30"/>
  <c r="R19" i="30" s="1"/>
  <c r="R18" i="30"/>
  <c r="S18" i="30" s="1"/>
  <c r="S25" i="30" s="1"/>
  <c r="K35" i="30"/>
  <c r="N23" i="30" l="1"/>
  <c r="O23" i="30" s="1"/>
  <c r="N27" i="30"/>
  <c r="O27" i="30" s="1"/>
  <c r="O31" i="30"/>
  <c r="S19" i="30"/>
  <c r="O25" i="30"/>
  <c r="S23" i="30"/>
  <c r="H162" i="29"/>
  <c r="H165" i="29"/>
  <c r="H163" i="29"/>
  <c r="H153" i="29"/>
  <c r="H151" i="29"/>
  <c r="H150" i="29"/>
  <c r="H149" i="29"/>
  <c r="H134" i="29"/>
  <c r="H130" i="29"/>
  <c r="H129" i="29"/>
  <c r="H128" i="29"/>
  <c r="H121" i="29"/>
  <c r="H115" i="29"/>
  <c r="H110" i="29"/>
  <c r="H109" i="29"/>
  <c r="H107" i="29"/>
  <c r="H106" i="29"/>
  <c r="H105" i="29"/>
  <c r="H103" i="29"/>
  <c r="H101" i="29"/>
  <c r="H100" i="29"/>
  <c r="H99" i="29"/>
  <c r="H98" i="29"/>
  <c r="H88" i="29"/>
  <c r="H39" i="29"/>
  <c r="H38" i="29"/>
  <c r="H37" i="29"/>
  <c r="H36" i="29"/>
  <c r="R27" i="30" l="1"/>
  <c r="S27" i="30" s="1"/>
  <c r="O32" i="30"/>
  <c r="H168" i="29"/>
  <c r="E10" i="27" l="1"/>
  <c r="E9" i="27"/>
  <c r="Q7" i="27"/>
  <c r="Q6" i="27"/>
  <c r="J6" i="27"/>
  <c r="J7" i="27"/>
  <c r="J8" i="27"/>
  <c r="J9" i="27"/>
  <c r="J10" i="27"/>
  <c r="J11" i="27"/>
  <c r="J12" i="27"/>
  <c r="J13" i="27"/>
  <c r="J5" i="27"/>
  <c r="E6" i="27"/>
  <c r="E7" i="27"/>
  <c r="E8" i="27"/>
  <c r="E11" i="27"/>
  <c r="E12" i="27"/>
  <c r="E5" i="27"/>
  <c r="N13" i="27" l="1"/>
  <c r="N12" i="27"/>
  <c r="J14" i="27"/>
  <c r="Q5" i="27" s="1"/>
  <c r="O13" i="27" s="1"/>
  <c r="O12" i="27" l="1"/>
  <c r="G15" i="34"/>
</calcChain>
</file>

<file path=xl/sharedStrings.xml><?xml version="1.0" encoding="utf-8"?>
<sst xmlns="http://schemas.openxmlformats.org/spreadsheetml/2006/main" count="588" uniqueCount="320">
  <si>
    <t>ADET</t>
  </si>
  <si>
    <t>Adet</t>
  </si>
  <si>
    <t>2 x 1.5</t>
  </si>
  <si>
    <t>L : 4000</t>
  </si>
  <si>
    <t>TEMİZ SU BORUSU</t>
  </si>
  <si>
    <t>NORMAL DİRSEK   20mm</t>
  </si>
  <si>
    <t>KULAKLI DİRSEK   20mm</t>
  </si>
  <si>
    <t>DÜZ T   20mm</t>
  </si>
  <si>
    <t>MAŞON   20mm</t>
  </si>
  <si>
    <t>İÇ DİŞLİ T   20mm</t>
  </si>
  <si>
    <t>ATLAMA PARÇASI YARIM PARMAK</t>
  </si>
  <si>
    <t>İZOLE BANT</t>
  </si>
  <si>
    <t>PREFABRİK PENCERELER ( 4.8 x 70 )</t>
  </si>
  <si>
    <t>3 x 2.5</t>
  </si>
  <si>
    <t xml:space="preserve"> AMPUL</t>
  </si>
  <si>
    <t>Poliüretan Köpük</t>
  </si>
  <si>
    <t xml:space="preserve"> YUVARLAK GLOP </t>
  </si>
  <si>
    <t xml:space="preserve">SİGORTA KUTUSU </t>
  </si>
  <si>
    <t>W OTOMAT (SİGORTA)</t>
  </si>
  <si>
    <t>L:2800</t>
  </si>
  <si>
    <t>KG</t>
  </si>
  <si>
    <t>1200*2500</t>
  </si>
  <si>
    <t>UYDU KABLO</t>
  </si>
  <si>
    <t>METRE</t>
  </si>
  <si>
    <t>ALÇIPAN VİDASI  ( 3.5 x 35 )</t>
  </si>
  <si>
    <t>RYSB PUL BAŞLI  ( 3.9 x 32 )</t>
  </si>
  <si>
    <t>8 LİK TRAPEZ UÇ</t>
  </si>
  <si>
    <t>PH2 UÇ</t>
  </si>
  <si>
    <t>230 LUK KESME TAŞI</t>
  </si>
  <si>
    <t>TİJLİ DUY</t>
  </si>
  <si>
    <t>KAPI VE PENCERE GRUBU</t>
  </si>
  <si>
    <t>ELEKTRİK GRUBU</t>
  </si>
  <si>
    <t>VİDA GRUBU</t>
  </si>
  <si>
    <t>L:3000</t>
  </si>
  <si>
    <t>İNİŞ KELEPÇESİ</t>
  </si>
  <si>
    <t>METAL DERE İNİŞİ APARATI</t>
  </si>
  <si>
    <t>DERE KAPAĞI</t>
  </si>
  <si>
    <t>BOYA GRUBU</t>
  </si>
  <si>
    <t>ÇATI ŞİLTESİ 80mm</t>
  </si>
  <si>
    <t xml:space="preserve"> DUVAR ALÇIPAN YEŞİL </t>
  </si>
  <si>
    <t>L:4000</t>
  </si>
  <si>
    <t>9,6 M2/ADET</t>
  </si>
  <si>
    <t>DERE KELEPÇESİ</t>
  </si>
  <si>
    <t>MÜŞTERİ AD SOYAD</t>
  </si>
  <si>
    <t>SEVKİYAT YERİ</t>
  </si>
  <si>
    <t>HAZIRLANMA BİLGİLERİ</t>
  </si>
  <si>
    <t>HAZIRLAYAN</t>
  </si>
  <si>
    <t>TARİH</t>
  </si>
  <si>
    <t>KONTROL</t>
  </si>
  <si>
    <t>İLETİŞİM NUMARASI</t>
  </si>
  <si>
    <t>BOYUT</t>
  </si>
  <si>
    <t>MAKİNE</t>
  </si>
  <si>
    <t>METAL AKSAM GRUBU</t>
  </si>
  <si>
    <t>DIŞ CEPHE KAPLAMA GRUBU</t>
  </si>
  <si>
    <t>İÇ CEPHE KAPLAMA GRUBU</t>
  </si>
  <si>
    <t>ÇATI KAPLAMALARI GRUBU</t>
  </si>
  <si>
    <t>NET ALAN</t>
  </si>
  <si>
    <t>BRÜT ALAN</t>
  </si>
  <si>
    <t>SIHHİ TESİSAT GRUBU</t>
  </si>
  <si>
    <t>DERE GRUBU</t>
  </si>
  <si>
    <t>BİNA M2 / KAT ADEDİ / KAT YÜKSEKLİĞİ</t>
  </si>
  <si>
    <t xml:space="preserve">BOYUT </t>
  </si>
  <si>
    <t>LOFTEV YÜKLEME LİSTESİ</t>
  </si>
  <si>
    <t>ŞASE PUL</t>
  </si>
  <si>
    <t>ÇELİK DÜBEL ( KLİPSLİ )</t>
  </si>
  <si>
    <t>BİRİM FİYAT</t>
  </si>
  <si>
    <t>L:2500</t>
  </si>
  <si>
    <t>TOPLAM</t>
  </si>
  <si>
    <t xml:space="preserve">GENEL TOPLAM </t>
  </si>
  <si>
    <t>UZUNLUK</t>
  </si>
  <si>
    <t xml:space="preserve"> DUVAR ALÇIPAN BEYAZ</t>
  </si>
  <si>
    <t>16  Amper</t>
  </si>
  <si>
    <t>PVC DOĞRAMA+PERVAZ MATİK +BEYAZ+ÇİFT AÇILIM</t>
  </si>
  <si>
    <t>100*2500</t>
  </si>
  <si>
    <t>SATIŞ TEMSİLCİSİ</t>
  </si>
  <si>
    <t>KÖŞEBENT</t>
  </si>
  <si>
    <t>60'LIK DUVAR OMEGASI</t>
  </si>
  <si>
    <t>60*3750</t>
  </si>
  <si>
    <t>100'LÜK SAÇAK OMEGASI</t>
  </si>
  <si>
    <t>250*2800</t>
  </si>
  <si>
    <t>1250*2500</t>
  </si>
  <si>
    <t>TEK</t>
  </si>
  <si>
    <t xml:space="preserve"> ÜRETİM PERSONELİ YÜKLEME </t>
  </si>
  <si>
    <t>100'LÜK DUVAR OMEGASI</t>
  </si>
  <si>
    <t>L:1000</t>
  </si>
  <si>
    <t>70 MM PVC DERE İNİŞ BORUSU</t>
  </si>
  <si>
    <t>L:2000</t>
  </si>
  <si>
    <t>AÇIK DİRSEK</t>
  </si>
  <si>
    <t>KAPALI  DİRSEK</t>
  </si>
  <si>
    <t>SORUMLI ÜRETİM PERSONELİ AD SOYAD</t>
  </si>
  <si>
    <t xml:space="preserve">  İMZA </t>
  </si>
  <si>
    <t>DEPO GRUBU</t>
  </si>
  <si>
    <t xml:space="preserve"> ÜRETİM PERSONELİ YÜKLEME KONTROL</t>
  </si>
  <si>
    <t>AHMET BALABAN</t>
  </si>
  <si>
    <t>MEHMET BALABAN</t>
  </si>
  <si>
    <t xml:space="preserve">AHMET BALABAN </t>
  </si>
  <si>
    <t>GENEL KONTROL ONAY VEREN</t>
  </si>
  <si>
    <t>SEDAT BALABAN</t>
  </si>
  <si>
    <t>İMZA</t>
  </si>
  <si>
    <t>İÇ CEPHE KAPLAMALARI GRUBU</t>
  </si>
  <si>
    <t>ZEMİN KAT DIŞ DUVARLAR</t>
  </si>
  <si>
    <t>1. KAT DIŞ DUVARLAR</t>
  </si>
  <si>
    <t>ZEMİN KAT İÇ DUVARLAR</t>
  </si>
  <si>
    <t>1. KAT İÇ DUVARLAR</t>
  </si>
  <si>
    <t>DIŞ KOLON KİRİŞLER</t>
  </si>
  <si>
    <t xml:space="preserve">DÖŞEME DIŞ </t>
  </si>
  <si>
    <t>ÇATI ALIN</t>
  </si>
  <si>
    <t>PENCERE BOŞLUK</t>
  </si>
  <si>
    <t>KAPI BOŞLUK</t>
  </si>
  <si>
    <t>DIŞ KAPI BOŞLUK</t>
  </si>
  <si>
    <t>YÜKSEKLİK</t>
  </si>
  <si>
    <t>ALAN</t>
  </si>
  <si>
    <t>İÇ KOLON KİRİŞLER</t>
  </si>
  <si>
    <t xml:space="preserve">EN </t>
  </si>
  <si>
    <t>BOY</t>
  </si>
  <si>
    <t>İÇ CEPHE DUVAR</t>
  </si>
  <si>
    <t>BRÜT</t>
  </si>
  <si>
    <t>NET</t>
  </si>
  <si>
    <t>YÜZEYLER</t>
  </si>
  <si>
    <t>MAKAS GRUBU</t>
  </si>
  <si>
    <t xml:space="preserve">MİNHA </t>
  </si>
  <si>
    <t>DIŞ CEPHE DUVAR</t>
  </si>
  <si>
    <t>-</t>
  </si>
  <si>
    <t>BRK YLDŞ /*/*//*/*/*/*/*/*/*</t>
  </si>
  <si>
    <t>120/100</t>
  </si>
  <si>
    <t>UYDU  PRİZİ ( TAKIM )</t>
  </si>
  <si>
    <t>TEKLİ ANAHTAR ( TAKIM )</t>
  </si>
  <si>
    <t>NYM KABLO (3 x 2.5)</t>
  </si>
  <si>
    <t>NYM KABLO (2 x 1.5)</t>
  </si>
  <si>
    <t>ÇİFTLİ ANAHTAR ( TAKIM )</t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</si>
  <si>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</si>
  <si>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 x 76 ) TRAPEZ VİDA </t>
    </r>
    <r>
      <rPr>
        <b/>
        <sz val="8"/>
        <rFont val="Arial"/>
        <family val="2"/>
        <charset val="162"/>
      </rPr>
      <t>(TEK KAT PANEL)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</si>
  <si>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</si>
  <si>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YAPIŞTIRMA VE KARKASLI PANEL GRUBU</t>
  </si>
  <si>
    <t>100'LÜK YAPIŞTIRMA DOLU PANO</t>
  </si>
  <si>
    <t>100x1250x2500</t>
  </si>
  <si>
    <t>100x625x2500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</si>
  <si>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</si>
  <si>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</si>
  <si>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</si>
  <si>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</si>
  <si>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</si>
  <si>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</si>
  <si>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</si>
  <si>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EYÜP DERİN</t>
  </si>
  <si>
    <t>KÖŞE DİREĞİ</t>
  </si>
  <si>
    <t>100x100x2500</t>
  </si>
  <si>
    <t>60x60x2500</t>
  </si>
  <si>
    <t xml:space="preserve">KUTU PROFİL  (KİRİŞ) </t>
  </si>
  <si>
    <t>KUTU PROFİL (KOLON)</t>
  </si>
  <si>
    <t>100*100*2500</t>
  </si>
  <si>
    <t>PROFİL VİDALAMA APARATI</t>
  </si>
  <si>
    <t>H ( DÜBELLİ&amp;KULAKLI)</t>
  </si>
  <si>
    <t>H ( DÜBELLİ )</t>
  </si>
  <si>
    <t>H (  STANDART )</t>
  </si>
  <si>
    <t>60*60*2500</t>
  </si>
  <si>
    <t xml:space="preserve"> 3 LÜ H ( DÜBELLİ VE KULAKLI)</t>
  </si>
  <si>
    <t>100*100*60*2500</t>
  </si>
  <si>
    <t xml:space="preserve"> 3 LÜ H ( DÜBELLİ )</t>
  </si>
  <si>
    <t>3 LÜ H (  STANDART )</t>
  </si>
  <si>
    <t>ÇEKTİRME U'SU (60 LIK)</t>
  </si>
  <si>
    <t>60*2440</t>
  </si>
  <si>
    <t>ÇEKTİRME U'SU (100 LÜK)</t>
  </si>
  <si>
    <t>100*2440</t>
  </si>
  <si>
    <t>100'LÜK PENCERE U SU H GEÇEN</t>
  </si>
  <si>
    <t>BAŞ MAKAS OMEGASI</t>
  </si>
  <si>
    <t>BAŞ MAKAS Z'Sİ</t>
  </si>
  <si>
    <t>BAŞ MAKAS MENFEZİ</t>
  </si>
  <si>
    <t>BAŞ MAKAS BETOPANI</t>
  </si>
  <si>
    <t>100'LÜK ALT ÇERÇEVE</t>
  </si>
  <si>
    <t>100*3750</t>
  </si>
  <si>
    <t>60'LIK ALT ÇERÇEVE</t>
  </si>
  <si>
    <t>AŞIK</t>
  </si>
  <si>
    <t>L:500</t>
  </si>
  <si>
    <t>60X3000</t>
  </si>
  <si>
    <t xml:space="preserve">ÇELİK DÜBEL </t>
  </si>
  <si>
    <t>60x625x2500</t>
  </si>
  <si>
    <t>KARKASLI ÇELİK KAPI PANOSU</t>
  </si>
  <si>
    <t xml:space="preserve">60'LIK KARKASLI +KASALI  PANOLAR                </t>
  </si>
  <si>
    <t>ÇELİK KAPI ( SAĞ )</t>
  </si>
  <si>
    <t>90*200</t>
  </si>
  <si>
    <t>82*196</t>
  </si>
  <si>
    <t>120*120</t>
  </si>
  <si>
    <t>60*40</t>
  </si>
  <si>
    <t>ALÇIPAN DESTEK STRAFORU</t>
  </si>
  <si>
    <t>PKT / 60 M2</t>
  </si>
  <si>
    <t>MAKAS (X BAŞ MAKAS, X ORTA MAKAS )</t>
  </si>
  <si>
    <t xml:space="preserve">YAVRU MAKAS </t>
  </si>
  <si>
    <t>PVC PLASTİK BETOPAN H' I</t>
  </si>
  <si>
    <t>16 MM BETOPAN VE KAPI KOLLARI ( 3.9 x 32)</t>
  </si>
  <si>
    <t>TEKLİ PRİZ ( TAKIM )</t>
  </si>
  <si>
    <t>ÇİFTLİ PRİZ (TAKIM)</t>
  </si>
  <si>
    <t>60x1190x2500</t>
  </si>
  <si>
    <t>DIŞ CEPHE</t>
  </si>
  <si>
    <t>İÇ CEPHE</t>
  </si>
  <si>
    <t>KAT YÜKSEKLİĞİ</t>
  </si>
  <si>
    <t>ZEMİN KAT</t>
  </si>
  <si>
    <t>DÖŞEME</t>
  </si>
  <si>
    <t>1. KAT</t>
  </si>
  <si>
    <t>BRÜT ALAN:</t>
  </si>
  <si>
    <t>PENCERE/KAPI BOŞLUKLARI</t>
  </si>
  <si>
    <t>EN</t>
  </si>
  <si>
    <t>YÜZEY</t>
  </si>
  <si>
    <t>TOPLAM:</t>
  </si>
  <si>
    <t>YÜKSEKLİĞİ</t>
  </si>
  <si>
    <t>ALIN ALANI 1</t>
  </si>
  <si>
    <t>ALIN ALANI 2</t>
  </si>
  <si>
    <t>ALIN ALANI 3</t>
  </si>
  <si>
    <t>ZEMİN KAT (BEYAZ)</t>
  </si>
  <si>
    <t>ZEMİN KAT (YEŞİL)</t>
  </si>
  <si>
    <t>1. KAT (BEYAZ)</t>
  </si>
  <si>
    <t>1. KAT (YEŞİL)</t>
  </si>
  <si>
    <t>KAT</t>
  </si>
  <si>
    <t>ZEMİN</t>
  </si>
  <si>
    <t>ODA TİPİ</t>
  </si>
  <si>
    <t>YEŞİL</t>
  </si>
  <si>
    <t>BEYAZ</t>
  </si>
  <si>
    <t>1.Kat Yüksekliği</t>
  </si>
  <si>
    <t xml:space="preserve">BRÜT </t>
  </si>
  <si>
    <t>Duvar Alçıpan (Beyaz)</t>
  </si>
  <si>
    <t>Duvar Alçıpan (Yeşil)</t>
  </si>
  <si>
    <t>Zemin Kat Yüksekliği</t>
  </si>
  <si>
    <t>TOPLAM BOŞLUK:</t>
  </si>
  <si>
    <t>TOPLAM BEYAZ ALAN BOŞLUĞU</t>
  </si>
  <si>
    <t>TOPLAM YEŞİL ALAN BOŞLUĞU</t>
  </si>
  <si>
    <t>ÇEVRE UZ.</t>
  </si>
  <si>
    <t>DIŞ CEPHE KOLON/KİRİŞ</t>
  </si>
  <si>
    <t>İÇ CEPHE KOLON/KİRİŞ</t>
  </si>
  <si>
    <t>YEŞİL ALAN PENCERE/KAPI BOŞLUKLARI</t>
  </si>
  <si>
    <t>BEYAZ ALAN PENCERE/KAPI BOŞLUKLARI</t>
  </si>
  <si>
    <t>Duvar OSB</t>
  </si>
  <si>
    <t>TOPLAM EK ALAN:</t>
  </si>
  <si>
    <t>Dış Cephe Boardex</t>
  </si>
  <si>
    <t>TOPLAM ALIN:</t>
  </si>
  <si>
    <t>Dekoratif Sıva</t>
  </si>
  <si>
    <t>Dış Cephe Betopan</t>
  </si>
  <si>
    <t>Dış Cephe Boyası</t>
  </si>
  <si>
    <t>İç Cephe Boyası</t>
  </si>
  <si>
    <t>L:4200</t>
  </si>
  <si>
    <t>İNOX TAŞ</t>
  </si>
  <si>
    <t>ÇIRPI İPİ</t>
  </si>
  <si>
    <t>PVC DOĞRAMA+PERVAZ MATİK + BEYAZ+VASİSTAS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</si>
  <si>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</si>
  <si>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</si>
  <si>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 xml:space="preserve"> </t>
  </si>
  <si>
    <t>ZİL</t>
  </si>
  <si>
    <t>PENCERELER</t>
  </si>
  <si>
    <t>120/120</t>
  </si>
  <si>
    <t>KAPI</t>
  </si>
  <si>
    <t>%15 ZAİYAT</t>
  </si>
  <si>
    <t>BESLEME KABLO BORUSU</t>
  </si>
  <si>
    <t>tek kat için 5 metre</t>
  </si>
  <si>
    <t>DIŞ KAPI</t>
  </si>
  <si>
    <t>İÇ KAPI</t>
  </si>
  <si>
    <t>5,5 x 25 (TRAPEZ VİDA)</t>
  </si>
  <si>
    <t>ADET/1</t>
  </si>
  <si>
    <t>Bina Toplam adet</t>
  </si>
  <si>
    <t>vida sayısı</t>
  </si>
  <si>
    <t>AŞIK (420)</t>
  </si>
  <si>
    <t>OMEGA (240)</t>
  </si>
  <si>
    <t>OMEGA (375)</t>
  </si>
  <si>
    <t>ÇELİK PANEL</t>
  </si>
  <si>
    <t>KÖŞEBENT (240 )</t>
  </si>
  <si>
    <t>70 m2: 500 adet</t>
  </si>
  <si>
    <t>100 m2: 750 adet</t>
  </si>
  <si>
    <t>1 (Alçıpan+Boardex) için 40 adet</t>
  </si>
  <si>
    <t>OSB / YALIPAN / BETOPAN ( 3.9 x 32)</t>
  </si>
  <si>
    <t>1 OSB için 40 adet</t>
  </si>
  <si>
    <t>1 Yalıpan için 8 adet + 1 Priz için 4 adet + 1 Saçak sacı için 4 adet , 1 Dere KELEPÇEİ için 3 tane</t>
  </si>
  <si>
    <t>1 pencere için 20 adet</t>
  </si>
  <si>
    <r>
      <t xml:space="preserve">5,5 x 25 (TRAPEZ VİDA) </t>
    </r>
    <r>
      <rPr>
        <b/>
        <sz val="8"/>
        <rFont val="Arial"/>
        <family val="2"/>
        <charset val="162"/>
      </rPr>
      <t>(AŞIK+OMEGA+KÖŞEBENT)</t>
    </r>
  </si>
  <si>
    <t xml:space="preserve">Çatı panellerin delik aşıklara montajında kullanılır. Metalin metale, metalin tahtaya veya tahtanın tahtaya montajında; dış yüzey ve çatı gibi bölgelerde kullanılır. </t>
  </si>
  <si>
    <t>Omega+köşebent+çelik paneller.. Çeliğin çelikle birleştiği her noktada kullanılır.</t>
  </si>
  <si>
    <t>Tek Kat Panel</t>
  </si>
  <si>
    <t>Duvar Panellerinin betona sabitlrnmesi için kullanılan bağlantı elemanıdır.</t>
  </si>
  <si>
    <t>Orta uzunluktki bir Duvar Paneli için 3 adet yeterlidir.</t>
  </si>
  <si>
    <t>Çelik dübel başlıklarına takılan puldur.</t>
  </si>
  <si>
    <t>Çelik Dübel sayısına eşittir.</t>
  </si>
  <si>
    <t>İNOX TAŞI</t>
  </si>
  <si>
    <t>Metal kesme diskleridir.</t>
  </si>
  <si>
    <t>Bina m2/10 adedi uygundur.</t>
  </si>
  <si>
    <t>INOX TAŞI / 2</t>
  </si>
  <si>
    <t>DUVAR ALÇIPAN HESABI</t>
  </si>
  <si>
    <t>ÇEVRE</t>
  </si>
  <si>
    <t>H</t>
  </si>
  <si>
    <t>MİNHA</t>
  </si>
  <si>
    <t>60/60</t>
  </si>
  <si>
    <t>200/220</t>
  </si>
  <si>
    <t>200/150</t>
  </si>
  <si>
    <t>BETOPAN</t>
  </si>
  <si>
    <t>DOĞAN PREFABRİK NİMET BEY</t>
  </si>
  <si>
    <t>KEŞAN</t>
  </si>
  <si>
    <t>LOKMAN SAYIM</t>
  </si>
  <si>
    <t>BATUHAN TINMAZ</t>
  </si>
  <si>
    <t>100x2500x2500</t>
  </si>
  <si>
    <t>100x1150x2500</t>
  </si>
  <si>
    <t>60x635x2500</t>
  </si>
  <si>
    <t>60x1170x2500</t>
  </si>
  <si>
    <t>(ANTRASİT)TRAPEZ SAC ( 80 CM KAPATIR )</t>
  </si>
  <si>
    <t>L:4400</t>
  </si>
  <si>
    <t>100*100*2410</t>
  </si>
  <si>
    <t>(ANTASİT GRİ ) METAL DERE</t>
  </si>
  <si>
    <t>AMERİKAN  KAPI ( 80 LİK KANAT ) (1 SOL, 4 SAĞ )</t>
  </si>
  <si>
    <t>160*180</t>
  </si>
  <si>
    <t>12 Lİ</t>
  </si>
  <si>
    <t xml:space="preserve">Dayson ( ANTRASİT ) </t>
  </si>
  <si>
    <t>100*100*4920</t>
  </si>
  <si>
    <t>100*100*1155</t>
  </si>
  <si>
    <t>L:8330</t>
  </si>
  <si>
    <t>L:5650</t>
  </si>
  <si>
    <t>(ANTRASİT) TRAPEZ SAC MAHYASI</t>
  </si>
  <si>
    <t xml:space="preserve">(ANTRASİT) TERS MAHYA </t>
  </si>
  <si>
    <t>(TERS) TAVAN YEŞİL ALÇIPAN</t>
  </si>
  <si>
    <t>(TERS )TAVAN BEYAZ ALÇIPAN</t>
  </si>
  <si>
    <t>Silikonize Mastik beyaz</t>
  </si>
  <si>
    <t>KARKASLI ÖZEL PENCERE PANOSU (160/180)</t>
  </si>
  <si>
    <t>(ANTRASİT) SAÇAK SACI (30'LUK)</t>
  </si>
  <si>
    <t>(ANTRASİT) ALIN SACI (30'LUK)</t>
  </si>
  <si>
    <t>300*2800</t>
  </si>
  <si>
    <t>60x1220x2500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</si>
</sst>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#,##0.00\ &quot;₺&quot;"/>
    <numFmt numFmtId="166" formatCode="00000"/>
    <numFmt numFmtId="167" formatCode="[$₺-41F]#,##0.00"/>
    <numFmt numFmtId="168" formatCode="&quot;₺&quot;#,##0.00"/>
    <numFmt numFmtId="169" formatCode="0.0"/>
  </numFmts>
  <fonts count="24" x14ac:knownFonts="1">
    <font>
      <sz val="10"/>
      <name val="Arial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b/>
      <sz val="11"/>
      <name val="Arial"/>
      <family val="2"/>
      <charset val="162"/>
    </font>
    <font>
      <b/>
      <sz val="14"/>
      <color theme="3" tint="-0.249977111117893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4"/>
      <name val="Arial"/>
      <family val="2"/>
      <charset val="162"/>
    </font>
    <font>
      <b/>
      <sz val="16"/>
      <name val="Arial"/>
      <family val="2"/>
      <charset val="16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3CF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9" fontId="8" fillId="0" borderId="0" applyFont="0" applyFill="0" applyBorder="0" applyAlignment="0" applyProtection="0"/>
  </cellStyleXfs>
  <cellXfs count="412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5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65" fontId="7" fillId="2" borderId="2" xfId="0" applyNumberFormat="1" applyFont="1" applyFill="1" applyBorder="1" applyAlignment="1">
      <alignment horizontal="right" vertical="center" wrapText="1"/>
    </xf>
    <xf numFmtId="0" fontId="5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2" fontId="4" fillId="10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4" fillId="7" borderId="0" xfId="0" applyNumberFormat="1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4" fontId="2" fillId="0" borderId="1" xfId="0" applyNumberFormat="1" applyFont="1" applyBorder="1" applyAlignment="1">
      <alignment horizontal="center" vertical="center" wrapText="1"/>
    </xf>
    <xf numFmtId="167" fontId="5" fillId="2" borderId="19" xfId="0" applyNumberFormat="1" applyFont="1" applyFill="1" applyBorder="1"/>
    <xf numFmtId="0" fontId="2" fillId="1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/>
    <xf numFmtId="168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" fontId="2" fillId="2" borderId="20" xfId="0" applyNumberFormat="1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right" vertical="center" wrapText="1"/>
    </xf>
    <xf numFmtId="164" fontId="2" fillId="13" borderId="6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14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shrinkToFit="1"/>
    </xf>
    <xf numFmtId="14" fontId="4" fillId="7" borderId="7" xfId="0" applyNumberFormat="1" applyFont="1" applyFill="1" applyBorder="1" applyAlignment="1">
      <alignment horizontal="left" vertical="center" wrapText="1"/>
    </xf>
    <xf numFmtId="168" fontId="5" fillId="2" borderId="0" xfId="0" applyNumberFormat="1" applyFont="1" applyFill="1"/>
    <xf numFmtId="0" fontId="2" fillId="12" borderId="21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5" fillId="0" borderId="5" xfId="0" applyFont="1" applyBorder="1"/>
    <xf numFmtId="0" fontId="2" fillId="0" borderId="9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164" fontId="2" fillId="10" borderId="6" xfId="0" applyNumberFormat="1" applyFont="1" applyFill="1" applyBorder="1" applyAlignment="1">
      <alignment horizontal="center" vertical="center" wrapText="1"/>
    </xf>
    <xf numFmtId="165" fontId="7" fillId="2" borderId="20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1" fillId="22" borderId="6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22" borderId="6" xfId="0" applyFont="1" applyFill="1" applyBorder="1" applyAlignment="1">
      <alignment horizontal="center" vertical="center"/>
    </xf>
    <xf numFmtId="0" fontId="12" fillId="22" borderId="10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/>
    </xf>
    <xf numFmtId="0" fontId="0" fillId="22" borderId="10" xfId="0" applyFill="1" applyBorder="1"/>
    <xf numFmtId="0" fontId="1" fillId="11" borderId="10" xfId="0" applyFont="1" applyFill="1" applyBorder="1"/>
    <xf numFmtId="0" fontId="12" fillId="2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2" fillId="12" borderId="11" xfId="0" applyFont="1" applyFill="1" applyBorder="1" applyAlignment="1">
      <alignment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6" xfId="0" applyBorder="1"/>
    <xf numFmtId="0" fontId="14" fillId="24" borderId="4" xfId="0" applyFont="1" applyFill="1" applyBorder="1"/>
    <xf numFmtId="0" fontId="14" fillId="24" borderId="26" xfId="0" applyFont="1" applyFill="1" applyBorder="1"/>
    <xf numFmtId="0" fontId="1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24" borderId="1" xfId="0" applyFont="1" applyFill="1" applyBorder="1"/>
    <xf numFmtId="0" fontId="15" fillId="0" borderId="0" xfId="0" applyFont="1"/>
    <xf numFmtId="0" fontId="15" fillId="28" borderId="26" xfId="0" applyFont="1" applyFill="1" applyBorder="1"/>
    <xf numFmtId="0" fontId="15" fillId="18" borderId="1" xfId="0" applyFont="1" applyFill="1" applyBorder="1"/>
    <xf numFmtId="0" fontId="15" fillId="0" borderId="1" xfId="0" applyFont="1" applyBorder="1"/>
    <xf numFmtId="0" fontId="15" fillId="25" borderId="1" xfId="0" applyFont="1" applyFill="1" applyBorder="1" applyAlignment="1">
      <alignment horizontal="center" vertical="center"/>
    </xf>
    <xf numFmtId="0" fontId="15" fillId="4" borderId="1" xfId="0" applyFont="1" applyFill="1" applyBorder="1"/>
    <xf numFmtId="0" fontId="15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5" fillId="24" borderId="1" xfId="0" applyFont="1" applyFill="1" applyBorder="1"/>
    <xf numFmtId="0" fontId="15" fillId="28" borderId="28" xfId="0" applyFont="1" applyFill="1" applyBorder="1"/>
    <xf numFmtId="0" fontId="15" fillId="4" borderId="29" xfId="0" applyFont="1" applyFill="1" applyBorder="1"/>
    <xf numFmtId="0" fontId="15" fillId="17" borderId="26" xfId="0" applyFont="1" applyFill="1" applyBorder="1"/>
    <xf numFmtId="0" fontId="15" fillId="26" borderId="29" xfId="0" applyFont="1" applyFill="1" applyBorder="1" applyAlignment="1">
      <alignment horizontal="right"/>
    </xf>
    <xf numFmtId="0" fontId="15" fillId="9" borderId="31" xfId="0" applyFont="1" applyFill="1" applyBorder="1"/>
    <xf numFmtId="0" fontId="15" fillId="9" borderId="26" xfId="0" applyFont="1" applyFill="1" applyBorder="1"/>
    <xf numFmtId="0" fontId="15" fillId="9" borderId="28" xfId="0" applyFont="1" applyFill="1" applyBorder="1"/>
    <xf numFmtId="0" fontId="15" fillId="24" borderId="26" xfId="0" applyFont="1" applyFill="1" applyBorder="1"/>
    <xf numFmtId="0" fontId="15" fillId="24" borderId="1" xfId="0" applyFont="1" applyFill="1" applyBorder="1" applyAlignment="1">
      <alignment horizontal="center"/>
    </xf>
    <xf numFmtId="0" fontId="15" fillId="24" borderId="27" xfId="0" applyFont="1" applyFill="1" applyBorder="1"/>
    <xf numFmtId="0" fontId="17" fillId="24" borderId="1" xfId="0" applyFont="1" applyFill="1" applyBorder="1"/>
    <xf numFmtId="0" fontId="17" fillId="24" borderId="31" xfId="0" applyFont="1" applyFill="1" applyBorder="1"/>
    <xf numFmtId="0" fontId="17" fillId="24" borderId="33" xfId="0" applyFont="1" applyFill="1" applyBorder="1"/>
    <xf numFmtId="0" fontId="15" fillId="18" borderId="26" xfId="0" applyFont="1" applyFill="1" applyBorder="1" applyAlignment="1">
      <alignment horizontal="right"/>
    </xf>
    <xf numFmtId="0" fontId="16" fillId="4" borderId="26" xfId="0" applyFont="1" applyFill="1" applyBorder="1" applyAlignment="1">
      <alignment horizontal="right"/>
    </xf>
    <xf numFmtId="0" fontId="15" fillId="26" borderId="28" xfId="0" applyFont="1" applyFill="1" applyBorder="1"/>
    <xf numFmtId="0" fontId="15" fillId="26" borderId="29" xfId="0" applyFont="1" applyFill="1" applyBorder="1"/>
    <xf numFmtId="0" fontId="15" fillId="0" borderId="0" xfId="0" applyFont="1" applyAlignment="1">
      <alignment vertical="center"/>
    </xf>
    <xf numFmtId="0" fontId="17" fillId="24" borderId="26" xfId="0" applyFont="1" applyFill="1" applyBorder="1"/>
    <xf numFmtId="0" fontId="15" fillId="24" borderId="23" xfId="0" applyFont="1" applyFill="1" applyBorder="1"/>
    <xf numFmtId="0" fontId="15" fillId="24" borderId="44" xfId="0" applyFont="1" applyFill="1" applyBorder="1"/>
    <xf numFmtId="0" fontId="15" fillId="0" borderId="26" xfId="0" applyFont="1" applyBorder="1"/>
    <xf numFmtId="0" fontId="15" fillId="18" borderId="26" xfId="0" applyFont="1" applyFill="1" applyBorder="1"/>
    <xf numFmtId="0" fontId="15" fillId="4" borderId="26" xfId="0" applyFont="1" applyFill="1" applyBorder="1"/>
    <xf numFmtId="0" fontId="15" fillId="0" borderId="21" xfId="0" applyFont="1" applyBorder="1"/>
    <xf numFmtId="0" fontId="15" fillId="0" borderId="1" xfId="0" applyFont="1" applyBorder="1" applyAlignment="1">
      <alignment horizontal="center" vertical="center"/>
    </xf>
    <xf numFmtId="0" fontId="15" fillId="32" borderId="30" xfId="0" applyFont="1" applyFill="1" applyBorder="1" applyAlignment="1">
      <alignment horizontal="center" vertical="center"/>
    </xf>
    <xf numFmtId="0" fontId="15" fillId="32" borderId="27" xfId="0" applyFont="1" applyFill="1" applyBorder="1" applyAlignment="1">
      <alignment horizontal="center"/>
    </xf>
    <xf numFmtId="0" fontId="15" fillId="32" borderId="30" xfId="0" applyFont="1" applyFill="1" applyBorder="1" applyAlignment="1">
      <alignment horizontal="center"/>
    </xf>
    <xf numFmtId="0" fontId="15" fillId="0" borderId="27" xfId="0" applyFont="1" applyBorder="1"/>
    <xf numFmtId="0" fontId="15" fillId="0" borderId="30" xfId="0" applyFont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12" borderId="27" xfId="0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/>
    </xf>
    <xf numFmtId="0" fontId="15" fillId="0" borderId="29" xfId="0" applyFont="1" applyBorder="1"/>
    <xf numFmtId="0" fontId="15" fillId="26" borderId="28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6" fillId="0" borderId="26" xfId="0" applyFont="1" applyBorder="1" applyAlignment="1">
      <alignment horizontal="right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right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3" xfId="0" applyFont="1" applyBorder="1"/>
    <xf numFmtId="2" fontId="15" fillId="12" borderId="1" xfId="0" applyNumberFormat="1" applyFont="1" applyFill="1" applyBorder="1" applyAlignment="1">
      <alignment horizontal="center" vertical="center"/>
    </xf>
    <xf numFmtId="2" fontId="15" fillId="12" borderId="27" xfId="0" applyNumberFormat="1" applyFont="1" applyFill="1" applyBorder="1" applyAlignment="1">
      <alignment horizontal="center" vertical="center"/>
    </xf>
    <xf numFmtId="2" fontId="15" fillId="32" borderId="29" xfId="0" applyNumberFormat="1" applyFont="1" applyFill="1" applyBorder="1" applyAlignment="1">
      <alignment horizontal="center" vertical="center"/>
    </xf>
    <xf numFmtId="2" fontId="15" fillId="32" borderId="30" xfId="0" applyNumberFormat="1" applyFont="1" applyFill="1" applyBorder="1" applyAlignment="1">
      <alignment horizontal="center" vertical="center"/>
    </xf>
    <xf numFmtId="169" fontId="0" fillId="31" borderId="27" xfId="0" applyNumberFormat="1" applyFill="1" applyBorder="1"/>
    <xf numFmtId="169" fontId="0" fillId="31" borderId="30" xfId="0" applyNumberFormat="1" applyFill="1" applyBorder="1"/>
    <xf numFmtId="165" fontId="7" fillId="2" borderId="0" xfId="0" applyNumberFormat="1" applyFont="1" applyFill="1" applyAlignment="1">
      <alignment horizontal="right" vertical="center" wrapText="1"/>
    </xf>
    <xf numFmtId="0" fontId="12" fillId="0" borderId="23" xfId="0" applyFont="1" applyBorder="1"/>
    <xf numFmtId="0" fontId="12" fillId="0" borderId="0" xfId="0" applyFont="1" applyAlignment="1">
      <alignment horizontal="center"/>
    </xf>
    <xf numFmtId="0" fontId="12" fillId="0" borderId="44" xfId="0" applyFont="1" applyBorder="1" applyAlignment="1">
      <alignment horizontal="center"/>
    </xf>
    <xf numFmtId="0" fontId="0" fillId="0" borderId="23" xfId="0" applyBorder="1"/>
    <xf numFmtId="0" fontId="0" fillId="0" borderId="44" xfId="0" applyBorder="1"/>
    <xf numFmtId="0" fontId="0" fillId="0" borderId="0" xfId="0" applyAlignment="1">
      <alignment horizontal="center"/>
    </xf>
    <xf numFmtId="0" fontId="0" fillId="0" borderId="19" xfId="0" applyBorder="1"/>
    <xf numFmtId="0" fontId="12" fillId="0" borderId="0" xfId="0" applyFont="1"/>
    <xf numFmtId="0" fontId="0" fillId="0" borderId="50" xfId="0" applyBorder="1"/>
    <xf numFmtId="0" fontId="12" fillId="0" borderId="44" xfId="0" applyFont="1" applyBorder="1" applyAlignment="1">
      <alignment horizontal="right"/>
    </xf>
    <xf numFmtId="0" fontId="12" fillId="34" borderId="23" xfId="0" applyFont="1" applyFill="1" applyBorder="1"/>
    <xf numFmtId="0" fontId="12" fillId="0" borderId="44" xfId="0" applyFont="1" applyBorder="1"/>
    <xf numFmtId="0" fontId="0" fillId="0" borderId="45" xfId="0" applyBorder="1"/>
    <xf numFmtId="0" fontId="12" fillId="0" borderId="50" xfId="0" applyFont="1" applyBorder="1"/>
    <xf numFmtId="0" fontId="12" fillId="34" borderId="21" xfId="0" applyFont="1" applyFill="1" applyBorder="1"/>
    <xf numFmtId="0" fontId="0" fillId="34" borderId="50" xfId="0" applyFill="1" applyBorder="1" applyAlignment="1">
      <alignment horizontal="center"/>
    </xf>
    <xf numFmtId="0" fontId="12" fillId="36" borderId="19" xfId="0" applyFont="1" applyFill="1" applyBorder="1"/>
    <xf numFmtId="0" fontId="0" fillId="34" borderId="50" xfId="0" applyFill="1" applyBorder="1"/>
    <xf numFmtId="0" fontId="0" fillId="34" borderId="50" xfId="0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0" fontId="12" fillId="0" borderId="23" xfId="0" applyFont="1" applyBorder="1" applyAlignment="1">
      <alignment horizontal="left" vertical="center"/>
    </xf>
    <xf numFmtId="0" fontId="12" fillId="0" borderId="23" xfId="0" applyFont="1" applyBorder="1" applyAlignment="1">
      <alignment horizontal="left"/>
    </xf>
    <xf numFmtId="0" fontId="0" fillId="0" borderId="21" xfId="0" applyBorder="1"/>
    <xf numFmtId="0" fontId="12" fillId="0" borderId="19" xfId="0" applyFont="1" applyBorder="1"/>
    <xf numFmtId="0" fontId="1" fillId="0" borderId="45" xfId="0" applyFont="1" applyBorder="1"/>
    <xf numFmtId="0" fontId="1" fillId="0" borderId="19" xfId="0" applyFont="1" applyBorder="1"/>
    <xf numFmtId="0" fontId="19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25" xfId="0" applyFont="1" applyBorder="1"/>
    <xf numFmtId="0" fontId="1" fillId="0" borderId="21" xfId="0" applyFont="1" applyBorder="1" applyAlignment="1">
      <alignment horizontal="left"/>
    </xf>
    <xf numFmtId="0" fontId="12" fillId="34" borderId="23" xfId="0" applyFont="1" applyFill="1" applyBorder="1" applyAlignment="1">
      <alignment horizontal="center"/>
    </xf>
    <xf numFmtId="0" fontId="12" fillId="34" borderId="0" xfId="0" applyFont="1" applyFill="1" applyAlignment="1">
      <alignment horizontal="center"/>
    </xf>
    <xf numFmtId="0" fontId="12" fillId="34" borderId="4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12" fillId="36" borderId="44" xfId="0" applyNumberFormat="1" applyFont="1" applyFill="1" applyBorder="1" applyAlignment="1">
      <alignment horizontal="right"/>
    </xf>
    <xf numFmtId="0" fontId="0" fillId="0" borderId="23" xfId="0" applyBorder="1" applyAlignment="1">
      <alignment horizontal="center"/>
    </xf>
    <xf numFmtId="2" fontId="12" fillId="0" borderId="0" xfId="0" applyNumberFormat="1" applyFont="1" applyAlignment="1">
      <alignment horizontal="right"/>
    </xf>
    <xf numFmtId="2" fontId="12" fillId="0" borderId="44" xfId="0" applyNumberFormat="1" applyFont="1" applyBorder="1" applyAlignment="1">
      <alignment horizontal="right"/>
    </xf>
    <xf numFmtId="2" fontId="0" fillId="0" borderId="44" xfId="0" applyNumberFormat="1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2" fillId="36" borderId="44" xfId="0" applyFont="1" applyFill="1" applyBorder="1" applyAlignment="1">
      <alignment horizontal="right"/>
    </xf>
    <xf numFmtId="0" fontId="0" fillId="0" borderId="23" xfId="0" applyBorder="1" applyAlignment="1">
      <alignment horizontal="left" vertical="center"/>
    </xf>
    <xf numFmtId="0" fontId="0" fillId="0" borderId="44" xfId="0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50" xfId="0" applyBorder="1" applyAlignment="1">
      <alignment horizontal="left"/>
    </xf>
    <xf numFmtId="0" fontId="0" fillId="35" borderId="19" xfId="0" applyFill="1" applyBorder="1" applyAlignment="1">
      <alignment horizontal="left"/>
    </xf>
    <xf numFmtId="2" fontId="0" fillId="0" borderId="50" xfId="0" applyNumberFormat="1" applyBorder="1" applyAlignment="1">
      <alignment horizontal="right"/>
    </xf>
    <xf numFmtId="2" fontId="0" fillId="0" borderId="19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2" fontId="0" fillId="35" borderId="19" xfId="0" applyNumberFormat="1" applyFill="1" applyBorder="1" applyAlignment="1">
      <alignment horizontal="right"/>
    </xf>
    <xf numFmtId="0" fontId="7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21" borderId="9" xfId="0" applyFont="1" applyFill="1" applyBorder="1" applyAlignment="1">
      <alignment horizontal="center" vertical="center"/>
    </xf>
    <xf numFmtId="0" fontId="12" fillId="21" borderId="17" xfId="0" applyFont="1" applyFill="1" applyBorder="1" applyAlignment="1">
      <alignment horizontal="center" vertical="center"/>
    </xf>
    <xf numFmtId="0" fontId="12" fillId="21" borderId="10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0" fillId="23" borderId="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12" fillId="9" borderId="9" xfId="0" applyFont="1" applyFill="1" applyBorder="1" applyAlignment="1">
      <alignment horizontal="right" vertical="center"/>
    </xf>
    <xf numFmtId="0" fontId="12" fillId="9" borderId="17" xfId="0" applyFont="1" applyFill="1" applyBorder="1" applyAlignment="1">
      <alignment horizontal="right" vertical="center"/>
    </xf>
    <xf numFmtId="0" fontId="12" fillId="9" borderId="10" xfId="0" applyFont="1" applyFill="1" applyBorder="1" applyAlignment="1">
      <alignment horizontal="right" vertical="center"/>
    </xf>
    <xf numFmtId="0" fontId="0" fillId="22" borderId="9" xfId="0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20" borderId="22" xfId="0" applyFont="1" applyFill="1" applyBorder="1" applyAlignment="1">
      <alignment horizontal="center" vertical="center" wrapText="1"/>
    </xf>
    <xf numFmtId="0" fontId="2" fillId="20" borderId="1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24" borderId="26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28" xfId="0" applyFont="1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15" fillId="9" borderId="26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9" borderId="27" xfId="0" applyFont="1" applyFill="1" applyBorder="1" applyAlignment="1">
      <alignment horizontal="center"/>
    </xf>
    <xf numFmtId="0" fontId="1" fillId="26" borderId="48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/>
    </xf>
    <xf numFmtId="0" fontId="1" fillId="26" borderId="39" xfId="0" applyFont="1" applyFill="1" applyBorder="1" applyAlignment="1">
      <alignment horizontal="center" vertical="center"/>
    </xf>
    <xf numFmtId="0" fontId="15" fillId="32" borderId="49" xfId="0" applyFont="1" applyFill="1" applyBorder="1" applyAlignment="1">
      <alignment horizontal="center" vertical="center"/>
    </xf>
    <xf numFmtId="0" fontId="15" fillId="32" borderId="35" xfId="0" applyFont="1" applyFill="1" applyBorder="1" applyAlignment="1">
      <alignment horizontal="center" vertical="center"/>
    </xf>
    <xf numFmtId="0" fontId="15" fillId="32" borderId="40" xfId="0" applyFont="1" applyFill="1" applyBorder="1" applyAlignment="1">
      <alignment horizontal="center" vertical="center"/>
    </xf>
    <xf numFmtId="0" fontId="1" fillId="17" borderId="26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 vertical="center" wrapText="1"/>
    </xf>
    <xf numFmtId="169" fontId="0" fillId="33" borderId="1" xfId="0" applyNumberFormat="1" applyFill="1" applyBorder="1" applyAlignment="1">
      <alignment horizontal="center" vertical="center"/>
    </xf>
    <xf numFmtId="169" fontId="0" fillId="33" borderId="29" xfId="0" applyNumberForma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33" xfId="0" applyFont="1" applyFill="1" applyBorder="1" applyAlignment="1">
      <alignment horizontal="center" vertical="center"/>
    </xf>
    <xf numFmtId="0" fontId="15" fillId="9" borderId="32" xfId="0" applyFont="1" applyFill="1" applyBorder="1" applyAlignment="1">
      <alignment horizontal="center" vertical="center"/>
    </xf>
    <xf numFmtId="0" fontId="15" fillId="18" borderId="26" xfId="0" applyFont="1" applyFill="1" applyBorder="1" applyAlignment="1">
      <alignment horizontal="center" vertical="center" wrapText="1"/>
    </xf>
    <xf numFmtId="169" fontId="15" fillId="33" borderId="1" xfId="0" applyNumberFormat="1" applyFont="1" applyFill="1" applyBorder="1" applyAlignment="1">
      <alignment horizontal="center" vertical="center"/>
    </xf>
    <xf numFmtId="169" fontId="15" fillId="31" borderId="27" xfId="0" applyNumberFormat="1" applyFont="1" applyFill="1" applyBorder="1" applyAlignment="1">
      <alignment horizontal="center" vertical="center"/>
    </xf>
    <xf numFmtId="169" fontId="0" fillId="31" borderId="27" xfId="0" applyNumberFormat="1" applyFill="1" applyBorder="1" applyAlignment="1">
      <alignment horizontal="center" vertical="center"/>
    </xf>
    <xf numFmtId="169" fontId="0" fillId="31" borderId="30" xfId="0" applyNumberFormat="1" applyFill="1" applyBorder="1" applyAlignment="1">
      <alignment horizontal="center" vertical="center"/>
    </xf>
    <xf numFmtId="0" fontId="1" fillId="17" borderId="26" xfId="0" applyFont="1" applyFill="1" applyBorder="1" applyAlignment="1">
      <alignment horizontal="center" vertical="center"/>
    </xf>
    <xf numFmtId="0" fontId="1" fillId="17" borderId="28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15" fillId="30" borderId="46" xfId="0" applyFont="1" applyFill="1" applyBorder="1" applyAlignment="1">
      <alignment horizontal="right"/>
    </xf>
    <xf numFmtId="0" fontId="15" fillId="30" borderId="3" xfId="0" applyFont="1" applyFill="1" applyBorder="1" applyAlignment="1">
      <alignment horizontal="right"/>
    </xf>
    <xf numFmtId="0" fontId="15" fillId="30" borderId="20" xfId="0" applyFont="1" applyFill="1" applyBorder="1" applyAlignment="1">
      <alignment horizontal="right"/>
    </xf>
    <xf numFmtId="0" fontId="15" fillId="29" borderId="46" xfId="0" applyFont="1" applyFill="1" applyBorder="1" applyAlignment="1">
      <alignment horizontal="right"/>
    </xf>
    <xf numFmtId="0" fontId="15" fillId="29" borderId="3" xfId="0" applyFont="1" applyFill="1" applyBorder="1" applyAlignment="1">
      <alignment horizontal="right"/>
    </xf>
    <xf numFmtId="0" fontId="15" fillId="29" borderId="20" xfId="0" applyFont="1" applyFill="1" applyBorder="1" applyAlignment="1">
      <alignment horizontal="right"/>
    </xf>
    <xf numFmtId="0" fontId="15" fillId="26" borderId="47" xfId="0" applyFont="1" applyFill="1" applyBorder="1" applyAlignment="1">
      <alignment horizontal="right"/>
    </xf>
    <xf numFmtId="0" fontId="15" fillId="26" borderId="36" xfId="0" applyFont="1" applyFill="1" applyBorder="1" applyAlignment="1">
      <alignment horizontal="right"/>
    </xf>
    <xf numFmtId="0" fontId="15" fillId="26" borderId="37" xfId="0" applyFont="1" applyFill="1" applyBorder="1" applyAlignment="1">
      <alignment horizontal="right"/>
    </xf>
    <xf numFmtId="0" fontId="14" fillId="9" borderId="31" xfId="0" applyFont="1" applyFill="1" applyBorder="1" applyAlignment="1">
      <alignment horizontal="center"/>
    </xf>
    <xf numFmtId="0" fontId="14" fillId="9" borderId="33" xfId="0" applyFont="1" applyFill="1" applyBorder="1" applyAlignment="1">
      <alignment horizontal="center"/>
    </xf>
    <xf numFmtId="0" fontId="14" fillId="9" borderId="32" xfId="0" applyFont="1" applyFill="1" applyBorder="1" applyAlignment="1">
      <alignment horizontal="center"/>
    </xf>
    <xf numFmtId="0" fontId="15" fillId="26" borderId="28" xfId="0" applyFont="1" applyFill="1" applyBorder="1" applyAlignment="1">
      <alignment horizontal="right"/>
    </xf>
    <xf numFmtId="0" fontId="15" fillId="26" borderId="29" xfId="0" applyFont="1" applyFill="1" applyBorder="1" applyAlignment="1">
      <alignment horizontal="right"/>
    </xf>
    <xf numFmtId="0" fontId="15" fillId="26" borderId="48" xfId="0" applyFont="1" applyFill="1" applyBorder="1" applyAlignment="1">
      <alignment horizontal="center" vertical="center"/>
    </xf>
    <xf numFmtId="0" fontId="15" fillId="26" borderId="15" xfId="0" applyFont="1" applyFill="1" applyBorder="1" applyAlignment="1">
      <alignment horizontal="center" vertical="center"/>
    </xf>
    <xf numFmtId="0" fontId="15" fillId="26" borderId="39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/>
    </xf>
    <xf numFmtId="0" fontId="14" fillId="9" borderId="34" xfId="0" applyFont="1" applyFill="1" applyBorder="1" applyAlignment="1">
      <alignment horizontal="center"/>
    </xf>
    <xf numFmtId="0" fontId="14" fillId="9" borderId="45" xfId="0" applyFont="1" applyFill="1" applyBorder="1" applyAlignment="1">
      <alignment horizontal="center"/>
    </xf>
    <xf numFmtId="169" fontId="15" fillId="33" borderId="4" xfId="0" applyNumberFormat="1" applyFont="1" applyFill="1" applyBorder="1" applyAlignment="1">
      <alignment horizontal="center" vertical="center"/>
    </xf>
    <xf numFmtId="169" fontId="15" fillId="33" borderId="5" xfId="0" applyNumberFormat="1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center"/>
    </xf>
    <xf numFmtId="0" fontId="14" fillId="9" borderId="42" xfId="0" applyFont="1" applyFill="1" applyBorder="1" applyAlignment="1">
      <alignment horizontal="center"/>
    </xf>
    <xf numFmtId="0" fontId="14" fillId="9" borderId="43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 vertical="center" wrapText="1"/>
    </xf>
    <xf numFmtId="0" fontId="15" fillId="24" borderId="0" xfId="0" applyFont="1" applyFill="1" applyAlignment="1">
      <alignment horizontal="center" vertical="center" wrapText="1"/>
    </xf>
    <xf numFmtId="0" fontId="15" fillId="24" borderId="38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5" fillId="24" borderId="24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/>
    </xf>
    <xf numFmtId="0" fontId="15" fillId="9" borderId="32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0" fontId="22" fillId="34" borderId="9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19" fillId="34" borderId="25" xfId="0" applyFont="1" applyFill="1" applyBorder="1" applyAlignment="1">
      <alignment horizontal="center"/>
    </xf>
    <xf numFmtId="0" fontId="19" fillId="34" borderId="34" xfId="0" applyFont="1" applyFill="1" applyBorder="1" applyAlignment="1">
      <alignment horizontal="center"/>
    </xf>
    <xf numFmtId="0" fontId="19" fillId="34" borderId="45" xfId="0" applyFont="1" applyFill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35" borderId="25" xfId="0" applyFont="1" applyFill="1" applyBorder="1" applyAlignment="1">
      <alignment horizontal="center"/>
    </xf>
    <xf numFmtId="0" fontId="12" fillId="35" borderId="34" xfId="0" applyFont="1" applyFill="1" applyBorder="1" applyAlignment="1">
      <alignment horizontal="center"/>
    </xf>
    <xf numFmtId="0" fontId="12" fillId="35" borderId="45" xfId="0" applyFont="1" applyFill="1" applyBorder="1" applyAlignment="1">
      <alignment horizontal="center"/>
    </xf>
    <xf numFmtId="0" fontId="23" fillId="0" borderId="25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19" fillId="34" borderId="25" xfId="0" applyFont="1" applyFill="1" applyBorder="1" applyAlignment="1">
      <alignment horizontal="left" vertical="center" wrapText="1"/>
    </xf>
    <xf numFmtId="0" fontId="19" fillId="34" borderId="45" xfId="0" applyFont="1" applyFill="1" applyBorder="1" applyAlignment="1">
      <alignment horizontal="left" vertical="center" wrapText="1"/>
    </xf>
    <xf numFmtId="0" fontId="19" fillId="34" borderId="21" xfId="0" applyFont="1" applyFill="1" applyBorder="1" applyAlignment="1">
      <alignment horizontal="left" vertical="center" wrapText="1"/>
    </xf>
    <xf numFmtId="0" fontId="19" fillId="34" borderId="19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0" fillId="27" borderId="0" xfId="0" applyFont="1" applyFill="1" applyAlignment="1">
      <alignment horizontal="center" vertical="center"/>
    </xf>
    <xf numFmtId="0" fontId="19" fillId="34" borderId="25" xfId="0" applyFont="1" applyFill="1" applyBorder="1" applyAlignment="1">
      <alignment horizontal="center" vertical="center"/>
    </xf>
    <xf numFmtId="0" fontId="19" fillId="34" borderId="34" xfId="0" applyFont="1" applyFill="1" applyBorder="1" applyAlignment="1">
      <alignment horizontal="center" vertical="center"/>
    </xf>
    <xf numFmtId="0" fontId="19" fillId="34" borderId="45" xfId="0" applyFont="1" applyFill="1" applyBorder="1" applyAlignment="1">
      <alignment horizontal="center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45" xfId="0" applyFont="1" applyFill="1" applyBorder="1" applyAlignment="1">
      <alignment horizontal="left" vertical="center"/>
    </xf>
    <xf numFmtId="0" fontId="19" fillId="34" borderId="21" xfId="0" applyFont="1" applyFill="1" applyBorder="1" applyAlignment="1">
      <alignment horizontal="left" vertical="center"/>
    </xf>
    <xf numFmtId="0" fontId="19" fillId="34" borderId="19" xfId="0" applyFont="1" applyFill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1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1" fillId="0" borderId="45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3" fillId="36" borderId="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Yüzd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3CF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174352</xdr:colOff>
      <xdr:row>6</xdr:row>
      <xdr:rowOff>185057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21" y="324897"/>
          <a:ext cx="2039160" cy="1373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G25" sqref="G25"/>
    </sheetView>
  </sheetViews>
  <sheetFormatPr defaultRowHeight="13.5" thickBottom="1" x14ac:dyDescent="0.25"/>
  <cols>
    <col min="1" max="1" width="2.140625" style="253" customWidth="1"/>
    <col min="2" max="2" width="24.7109375" bestFit="1" customWidth="1"/>
    <col min="4" max="4" width="11.140625" bestFit="1" customWidth="1"/>
    <col min="7" max="7" width="22.85546875" bestFit="1" customWidth="1"/>
    <col min="13" max="13" width="17.85546875" bestFit="1" customWidth="1"/>
  </cols>
  <sheetData>
    <row r="1" spans="1:17" thickBot="1" x14ac:dyDescent="0.25">
      <c r="B1" s="255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7"/>
    </row>
    <row r="2" spans="1:17" thickBot="1" x14ac:dyDescent="0.25">
      <c r="A2" s="254"/>
    </row>
    <row r="3" spans="1:17" ht="17.45" customHeight="1" thickBot="1" x14ac:dyDescent="0.25">
      <c r="A3" s="254"/>
      <c r="B3" s="247" t="s">
        <v>118</v>
      </c>
      <c r="C3" s="248"/>
      <c r="D3" s="248"/>
      <c r="E3" s="249"/>
      <c r="G3" s="250" t="s">
        <v>107</v>
      </c>
      <c r="H3" s="251"/>
      <c r="I3" s="251"/>
      <c r="J3" s="252"/>
      <c r="L3" s="247" t="s">
        <v>120</v>
      </c>
      <c r="M3" s="248"/>
      <c r="N3" s="248"/>
      <c r="O3" s="248"/>
      <c r="P3" s="248"/>
      <c r="Q3" s="249"/>
    </row>
    <row r="4" spans="1:17" ht="17.45" customHeight="1" thickBot="1" x14ac:dyDescent="0.25">
      <c r="A4" s="254"/>
      <c r="B4" s="81"/>
      <c r="C4" s="74" t="s">
        <v>23</v>
      </c>
      <c r="D4" s="74" t="s">
        <v>110</v>
      </c>
      <c r="E4" s="77" t="s">
        <v>111</v>
      </c>
      <c r="G4" s="74" t="s">
        <v>0</v>
      </c>
      <c r="H4" s="74" t="s">
        <v>113</v>
      </c>
      <c r="I4" s="74" t="s">
        <v>114</v>
      </c>
      <c r="J4" s="77" t="s">
        <v>111</v>
      </c>
      <c r="L4" s="261"/>
      <c r="M4" s="262"/>
      <c r="N4" s="74" t="s">
        <v>0</v>
      </c>
      <c r="O4" s="74" t="s">
        <v>113</v>
      </c>
      <c r="P4" s="74" t="s">
        <v>114</v>
      </c>
      <c r="Q4" s="77" t="s">
        <v>111</v>
      </c>
    </row>
    <row r="5" spans="1:17" ht="17.45" customHeight="1" thickBot="1" x14ac:dyDescent="0.25">
      <c r="A5" s="254"/>
      <c r="B5" s="82" t="s">
        <v>100</v>
      </c>
      <c r="C5" s="25">
        <v>38.340000000000003</v>
      </c>
      <c r="D5" s="25">
        <v>2.7</v>
      </c>
      <c r="E5" s="76">
        <f>D5*C5</f>
        <v>103.51800000000001</v>
      </c>
      <c r="G5" s="25"/>
      <c r="H5" s="25"/>
      <c r="I5" s="25"/>
      <c r="J5" s="25">
        <f>G5*H5*I5</f>
        <v>0</v>
      </c>
      <c r="L5" s="263" t="s">
        <v>107</v>
      </c>
      <c r="M5" s="264"/>
      <c r="N5" s="84" t="s">
        <v>122</v>
      </c>
      <c r="O5" s="84" t="s">
        <v>122</v>
      </c>
      <c r="P5" s="84" t="s">
        <v>122</v>
      </c>
      <c r="Q5" s="76">
        <f>J14</f>
        <v>0</v>
      </c>
    </row>
    <row r="6" spans="1:17" ht="17.45" customHeight="1" thickBot="1" x14ac:dyDescent="0.25">
      <c r="A6" s="254"/>
      <c r="B6" s="82" t="s">
        <v>101</v>
      </c>
      <c r="C6" s="25"/>
      <c r="D6" s="25"/>
      <c r="E6" s="76">
        <f t="shared" ref="E6:E12" si="0">D6*C6</f>
        <v>0</v>
      </c>
      <c r="G6" s="25"/>
      <c r="H6" s="25"/>
      <c r="I6" s="25"/>
      <c r="J6" s="25">
        <f t="shared" ref="J6:J13" si="1">G6*H6*I6</f>
        <v>0</v>
      </c>
      <c r="L6" s="263" t="s">
        <v>108</v>
      </c>
      <c r="M6" s="264"/>
      <c r="N6" s="25"/>
      <c r="O6" s="75"/>
      <c r="P6" s="25"/>
      <c r="Q6" s="76">
        <f>N6*O6*P6</f>
        <v>0</v>
      </c>
    </row>
    <row r="7" spans="1:17" ht="17.45" customHeight="1" thickBot="1" x14ac:dyDescent="0.25">
      <c r="A7" s="254"/>
      <c r="B7" s="82" t="s">
        <v>102</v>
      </c>
      <c r="C7" s="25"/>
      <c r="D7" s="25"/>
      <c r="E7" s="76">
        <f t="shared" si="0"/>
        <v>0</v>
      </c>
      <c r="G7" s="25"/>
      <c r="H7" s="25"/>
      <c r="I7" s="75"/>
      <c r="J7" s="25">
        <f t="shared" si="1"/>
        <v>0</v>
      </c>
      <c r="L7" s="263" t="s">
        <v>109</v>
      </c>
      <c r="M7" s="264"/>
      <c r="N7" s="25"/>
      <c r="O7" s="25"/>
      <c r="P7" s="25"/>
      <c r="Q7" s="76">
        <f>N7*O7*P7</f>
        <v>0</v>
      </c>
    </row>
    <row r="8" spans="1:17" ht="17.45" customHeight="1" thickBot="1" x14ac:dyDescent="0.25">
      <c r="A8" s="254"/>
      <c r="B8" s="82" t="s">
        <v>103</v>
      </c>
      <c r="C8" s="25"/>
      <c r="D8" s="25"/>
      <c r="E8" s="76">
        <f t="shared" si="0"/>
        <v>0</v>
      </c>
      <c r="G8" s="25"/>
      <c r="H8" s="25"/>
      <c r="I8" s="25"/>
      <c r="J8" s="25">
        <f t="shared" si="1"/>
        <v>0</v>
      </c>
    </row>
    <row r="9" spans="1:17" ht="17.45" customHeight="1" thickBot="1" x14ac:dyDescent="0.25">
      <c r="A9" s="254"/>
      <c r="B9" s="82" t="s">
        <v>112</v>
      </c>
      <c r="C9" s="25"/>
      <c r="D9" s="25"/>
      <c r="E9" s="76">
        <f>D9*C9*2</f>
        <v>0</v>
      </c>
      <c r="G9" s="25"/>
      <c r="H9" s="25"/>
      <c r="I9" s="75"/>
      <c r="J9" s="25">
        <f t="shared" si="1"/>
        <v>0</v>
      </c>
    </row>
    <row r="10" spans="1:17" ht="17.45" customHeight="1" thickBot="1" x14ac:dyDescent="0.25">
      <c r="A10" s="254"/>
      <c r="B10" s="82" t="s">
        <v>104</v>
      </c>
      <c r="C10" s="25"/>
      <c r="D10" s="25"/>
      <c r="E10" s="76">
        <f>D10*C10*2</f>
        <v>0</v>
      </c>
      <c r="G10" s="25"/>
      <c r="H10" s="75"/>
      <c r="I10" s="25"/>
      <c r="J10" s="25">
        <f t="shared" si="1"/>
        <v>0</v>
      </c>
    </row>
    <row r="11" spans="1:17" ht="17.45" customHeight="1" thickBot="1" x14ac:dyDescent="0.25">
      <c r="A11" s="254"/>
      <c r="B11" s="82" t="s">
        <v>105</v>
      </c>
      <c r="C11" s="25">
        <v>0</v>
      </c>
      <c r="D11" s="25"/>
      <c r="E11" s="76">
        <f t="shared" si="0"/>
        <v>0</v>
      </c>
      <c r="G11" s="25"/>
      <c r="H11" s="25"/>
      <c r="I11" s="25"/>
      <c r="J11" s="25">
        <f t="shared" si="1"/>
        <v>0</v>
      </c>
      <c r="M11" s="77"/>
      <c r="N11" s="77" t="s">
        <v>116</v>
      </c>
      <c r="O11" s="78" t="s">
        <v>117</v>
      </c>
    </row>
    <row r="12" spans="1:17" ht="17.45" customHeight="1" thickBot="1" x14ac:dyDescent="0.25">
      <c r="A12" s="254"/>
      <c r="B12" s="82" t="s">
        <v>106</v>
      </c>
      <c r="C12" s="25"/>
      <c r="D12" s="25"/>
      <c r="E12" s="76">
        <f t="shared" si="0"/>
        <v>0</v>
      </c>
      <c r="G12" s="25"/>
      <c r="H12" s="25"/>
      <c r="I12" s="25"/>
      <c r="J12" s="25">
        <f t="shared" si="1"/>
        <v>0</v>
      </c>
      <c r="M12" s="79" t="s">
        <v>121</v>
      </c>
      <c r="N12" s="80">
        <f>E5+E6+E10+E11+E12</f>
        <v>103.51800000000001</v>
      </c>
      <c r="O12" s="80">
        <f>N12-Q5-Q7</f>
        <v>103.51800000000001</v>
      </c>
    </row>
    <row r="13" spans="1:17" ht="17.45" customHeight="1" thickBot="1" x14ac:dyDescent="0.25">
      <c r="A13" s="254"/>
      <c r="G13" s="25"/>
      <c r="H13" s="25"/>
      <c r="I13" s="25"/>
      <c r="J13" s="25">
        <f t="shared" si="1"/>
        <v>0</v>
      </c>
      <c r="M13" s="79" t="s">
        <v>115</v>
      </c>
      <c r="N13" s="80">
        <f>E5+E6+(2*E7)+(2*E8)+E9</f>
        <v>103.51800000000001</v>
      </c>
      <c r="O13" s="80">
        <f>N13-Q5-Q6-Q7</f>
        <v>103.51800000000001</v>
      </c>
    </row>
    <row r="14" spans="1:17" ht="17.45" customHeight="1" thickBot="1" x14ac:dyDescent="0.25">
      <c r="A14" s="254"/>
      <c r="G14" s="258" t="s">
        <v>67</v>
      </c>
      <c r="H14" s="259"/>
      <c r="I14" s="260"/>
      <c r="J14" s="83">
        <f>SUM(J5:J13)</f>
        <v>0</v>
      </c>
    </row>
    <row r="15" spans="1:17" ht="17.45" customHeight="1" x14ac:dyDescent="0.2">
      <c r="A15" s="254"/>
    </row>
    <row r="16" spans="1:17" ht="17.45" customHeight="1" x14ac:dyDescent="0.2">
      <c r="A16" s="254"/>
    </row>
    <row r="17" spans="1:7" ht="17.45" customHeight="1" x14ac:dyDescent="0.2">
      <c r="A17" s="254"/>
    </row>
    <row r="18" spans="1:7" ht="12.75" x14ac:dyDescent="0.2">
      <c r="A18" s="254"/>
    </row>
    <row r="19" spans="1:7" ht="12.75" x14ac:dyDescent="0.2">
      <c r="A19" s="254"/>
    </row>
    <row r="20" spans="1:7" ht="12.75" x14ac:dyDescent="0.2">
      <c r="A20" s="254"/>
    </row>
    <row r="21" spans="1:7" ht="12.75" x14ac:dyDescent="0.2">
      <c r="A21" s="254"/>
      <c r="G21" s="73" t="s">
        <v>123</v>
      </c>
    </row>
    <row r="22" spans="1:7" ht="12.75" x14ac:dyDescent="0.2">
      <c r="A22" s="254"/>
    </row>
    <row r="23" spans="1:7" ht="12.75" x14ac:dyDescent="0.2">
      <c r="A23" s="254"/>
    </row>
    <row r="24" spans="1:7" ht="12.75" x14ac:dyDescent="0.2">
      <c r="A24" s="254"/>
    </row>
    <row r="25" spans="1:7" ht="12.75" x14ac:dyDescent="0.2">
      <c r="A25" s="254"/>
      <c r="G25" t="s">
        <v>244</v>
      </c>
    </row>
    <row r="26" spans="1:7" thickBot="1" x14ac:dyDescent="0.25">
      <c r="A26" s="254"/>
    </row>
  </sheetData>
  <mergeCells count="10">
    <mergeCell ref="B3:E3"/>
    <mergeCell ref="G3:J3"/>
    <mergeCell ref="A1:A1048576"/>
    <mergeCell ref="B1:P1"/>
    <mergeCell ref="G14:I14"/>
    <mergeCell ref="L3:Q3"/>
    <mergeCell ref="L4:M4"/>
    <mergeCell ref="L5:M5"/>
    <mergeCell ref="L6:M6"/>
    <mergeCell ref="L7:M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169"/>
  <sheetViews>
    <sheetView tabSelected="1" showWhiteSpace="0" view="pageBreakPreview" topLeftCell="A8" zoomScale="115" zoomScaleNormal="85" zoomScaleSheetLayoutView="115" workbookViewId="0">
      <selection activeCell="F21" sqref="F21"/>
    </sheetView>
  </sheetViews>
  <sheetFormatPr defaultColWidth="9.140625" defaultRowHeight="12.75" x14ac:dyDescent="0.2"/>
  <cols>
    <col min="1" max="1" width="63.42578125" style="3" customWidth="1"/>
    <col min="2" max="2" width="29" style="3" customWidth="1"/>
    <col min="3" max="3" width="15.85546875" style="2" bestFit="1" customWidth="1"/>
    <col min="4" max="4" width="22.85546875" style="2" customWidth="1"/>
    <col min="5" max="5" width="15.5703125" style="3" customWidth="1"/>
    <col min="6" max="6" width="25.5703125" style="3" customWidth="1"/>
    <col min="7" max="7" width="15.42578125" style="3" customWidth="1"/>
    <col min="8" max="8" width="15.140625" style="3" customWidth="1"/>
    <col min="9" max="9" width="9.140625" style="3" customWidth="1"/>
    <col min="10" max="16384" width="9.140625" style="3"/>
  </cols>
  <sheetData>
    <row r="1" spans="1:8" ht="25.15" customHeight="1" thickBot="1" x14ac:dyDescent="0.25">
      <c r="A1" s="271" t="s">
        <v>62</v>
      </c>
      <c r="B1" s="272"/>
      <c r="C1" s="272"/>
      <c r="D1" s="272"/>
      <c r="E1" s="273"/>
      <c r="F1" s="268"/>
      <c r="G1" s="27"/>
    </row>
    <row r="2" spans="1:8" ht="19.149999999999999" customHeight="1" thickBot="1" x14ac:dyDescent="0.25">
      <c r="A2" s="18" t="s">
        <v>43</v>
      </c>
      <c r="B2" s="274" t="s">
        <v>290</v>
      </c>
      <c r="C2" s="275"/>
      <c r="D2" s="275"/>
      <c r="E2" s="276"/>
      <c r="F2" s="269"/>
      <c r="G2" s="28"/>
    </row>
    <row r="3" spans="1:8" ht="19.149999999999999" customHeight="1" thickBot="1" x14ac:dyDescent="0.25">
      <c r="A3" s="18" t="s">
        <v>49</v>
      </c>
      <c r="B3" s="274"/>
      <c r="C3" s="275"/>
      <c r="D3" s="275"/>
      <c r="E3" s="276"/>
      <c r="F3" s="269"/>
      <c r="G3" s="29"/>
    </row>
    <row r="4" spans="1:8" ht="19.149999999999999" customHeight="1" thickBot="1" x14ac:dyDescent="0.25">
      <c r="A4" s="18" t="s">
        <v>44</v>
      </c>
      <c r="B4" s="277" t="s">
        <v>291</v>
      </c>
      <c r="C4" s="278"/>
      <c r="D4" s="278"/>
      <c r="E4" s="279"/>
      <c r="F4" s="269"/>
      <c r="G4" s="30"/>
    </row>
    <row r="5" spans="1:8" ht="19.149999999999999" customHeight="1" thickBot="1" x14ac:dyDescent="0.25">
      <c r="A5" s="18" t="s">
        <v>74</v>
      </c>
      <c r="B5" s="277" t="s">
        <v>292</v>
      </c>
      <c r="C5" s="278"/>
      <c r="D5" s="278"/>
      <c r="E5" s="279"/>
      <c r="F5" s="269"/>
      <c r="G5" s="30"/>
    </row>
    <row r="6" spans="1:8" ht="19.5" customHeight="1" thickBot="1" x14ac:dyDescent="0.25">
      <c r="A6" s="19" t="s">
        <v>60</v>
      </c>
      <c r="B6" s="26">
        <v>80</v>
      </c>
      <c r="C6" s="26" t="s">
        <v>81</v>
      </c>
      <c r="D6" s="277">
        <v>2500</v>
      </c>
      <c r="E6" s="279"/>
      <c r="F6" s="269"/>
      <c r="G6" s="31"/>
    </row>
    <row r="7" spans="1:8" ht="19.5" customHeight="1" thickBot="1" x14ac:dyDescent="0.25">
      <c r="A7" s="280" t="s">
        <v>45</v>
      </c>
      <c r="B7" s="20" t="s">
        <v>46</v>
      </c>
      <c r="C7" s="20" t="s">
        <v>47</v>
      </c>
      <c r="D7" s="20" t="s">
        <v>48</v>
      </c>
      <c r="E7" s="20" t="s">
        <v>47</v>
      </c>
      <c r="F7" s="269"/>
      <c r="G7" s="32"/>
    </row>
    <row r="8" spans="1:8" ht="19.5" customHeight="1" thickBot="1" x14ac:dyDescent="0.25">
      <c r="A8" s="281"/>
      <c r="B8" s="58" t="s">
        <v>293</v>
      </c>
      <c r="C8" s="59">
        <v>45912</v>
      </c>
      <c r="D8" s="60"/>
      <c r="E8" s="61"/>
      <c r="F8" s="270"/>
      <c r="G8" s="33"/>
    </row>
    <row r="9" spans="1:8" ht="13.5" thickBot="1" x14ac:dyDescent="0.25">
      <c r="A9" s="265"/>
      <c r="B9" s="266"/>
      <c r="C9" s="266"/>
      <c r="D9" s="266"/>
      <c r="E9" s="266"/>
      <c r="F9" s="267"/>
    </row>
    <row r="10" spans="1:8" ht="32.25" thickBot="1" x14ac:dyDescent="0.25">
      <c r="A10" s="88" t="s">
        <v>133</v>
      </c>
      <c r="B10" s="89" t="s">
        <v>50</v>
      </c>
      <c r="C10" s="89" t="s">
        <v>0</v>
      </c>
      <c r="D10" s="89" t="s">
        <v>20</v>
      </c>
      <c r="E10" s="90" t="s">
        <v>51</v>
      </c>
      <c r="F10" s="22" t="s">
        <v>92</v>
      </c>
      <c r="G10" s="38" t="s">
        <v>65</v>
      </c>
      <c r="H10" s="39" t="s">
        <v>67</v>
      </c>
    </row>
    <row r="11" spans="1:8" ht="16.149999999999999" customHeight="1" x14ac:dyDescent="0.2">
      <c r="A11" s="6" t="s">
        <v>134</v>
      </c>
      <c r="B11" s="4" t="s">
        <v>135</v>
      </c>
      <c r="C11" s="24">
        <v>15</v>
      </c>
      <c r="D11" s="11"/>
      <c r="E11" s="91"/>
      <c r="F11" s="11"/>
      <c r="G11" s="41"/>
      <c r="H11" s="40"/>
    </row>
    <row r="12" spans="1:8" ht="18.600000000000001" customHeight="1" x14ac:dyDescent="0.2">
      <c r="A12" s="6" t="s">
        <v>134</v>
      </c>
      <c r="B12" s="4" t="s">
        <v>295</v>
      </c>
      <c r="C12" s="24">
        <v>1</v>
      </c>
      <c r="D12" s="11"/>
      <c r="E12" s="91"/>
      <c r="F12" s="11"/>
      <c r="G12" s="41"/>
      <c r="H12" s="40"/>
    </row>
    <row r="13" spans="1:8" ht="18" customHeight="1" x14ac:dyDescent="0.2">
      <c r="A13" s="6" t="s">
        <v>134</v>
      </c>
      <c r="B13" s="4" t="s">
        <v>136</v>
      </c>
      <c r="C13" s="24">
        <v>4</v>
      </c>
      <c r="D13" s="11"/>
      <c r="E13" s="91"/>
      <c r="F13" s="11"/>
      <c r="G13" s="41"/>
      <c r="H13" s="40"/>
    </row>
    <row r="14" spans="1:8" ht="18.600000000000001" customHeight="1" x14ac:dyDescent="0.2">
      <c r="A14" s="12"/>
      <c r="B14" s="11"/>
      <c r="C14" s="13"/>
      <c r="D14" s="11"/>
      <c r="E14" s="91"/>
      <c r="F14" s="11"/>
      <c r="G14" s="41"/>
      <c r="H14" s="40"/>
    </row>
    <row r="15" spans="1:8" ht="15.75" x14ac:dyDescent="0.2">
      <c r="A15" s="6" t="s">
        <v>137</v>
      </c>
      <c r="B15" s="4" t="s">
        <v>135</v>
      </c>
      <c r="C15" s="24">
        <v>1</v>
      </c>
      <c r="D15" s="11"/>
      <c r="E15" s="91"/>
      <c r="F15" s="11"/>
      <c r="G15" s="41"/>
      <c r="H15" s="40"/>
    </row>
    <row r="16" spans="1:8" ht="18.600000000000001" customHeight="1" x14ac:dyDescent="0.2">
      <c r="A16" s="12"/>
      <c r="B16" s="11"/>
      <c r="C16" s="13"/>
      <c r="D16" s="3"/>
      <c r="E16" s="91"/>
      <c r="F16" s="11"/>
      <c r="G16" s="41"/>
      <c r="H16" s="40"/>
    </row>
    <row r="17" spans="1:8" ht="18.600000000000001" customHeight="1" x14ac:dyDescent="0.2">
      <c r="A17" s="87" t="s">
        <v>138</v>
      </c>
      <c r="B17" s="4" t="s">
        <v>139</v>
      </c>
      <c r="C17" s="24">
        <v>9</v>
      </c>
      <c r="D17" s="11"/>
      <c r="E17" s="91"/>
      <c r="F17" s="11"/>
      <c r="G17" s="41"/>
      <c r="H17" s="40"/>
    </row>
    <row r="18" spans="1:8" ht="18.600000000000001" customHeight="1" x14ac:dyDescent="0.2">
      <c r="A18" s="87" t="s">
        <v>138</v>
      </c>
      <c r="B18" s="4" t="s">
        <v>192</v>
      </c>
      <c r="C18" s="24">
        <v>1</v>
      </c>
      <c r="D18" s="11"/>
      <c r="E18" s="91"/>
      <c r="F18" s="11"/>
      <c r="G18" s="41"/>
      <c r="H18" s="40"/>
    </row>
    <row r="19" spans="1:8" ht="18.600000000000001" customHeight="1" x14ac:dyDescent="0.2">
      <c r="A19" s="87" t="s">
        <v>138</v>
      </c>
      <c r="B19" s="4" t="s">
        <v>297</v>
      </c>
      <c r="C19" s="24">
        <v>2</v>
      </c>
      <c r="D19" s="11"/>
      <c r="E19" s="91"/>
      <c r="F19" s="11"/>
      <c r="G19" s="41"/>
      <c r="H19" s="40"/>
    </row>
    <row r="20" spans="1:8" ht="18.600000000000001" customHeight="1" x14ac:dyDescent="0.2">
      <c r="A20" s="87" t="s">
        <v>138</v>
      </c>
      <c r="B20" s="406" t="s">
        <v>319</v>
      </c>
      <c r="C20" s="24">
        <v>1</v>
      </c>
      <c r="D20" s="11"/>
      <c r="E20" s="91"/>
      <c r="F20" s="11"/>
      <c r="G20" s="41"/>
      <c r="H20" s="40"/>
    </row>
    <row r="21" spans="1:8" ht="18.600000000000001" customHeight="1" x14ac:dyDescent="0.2">
      <c r="A21" s="87" t="s">
        <v>138</v>
      </c>
      <c r="B21" s="4" t="s">
        <v>296</v>
      </c>
      <c r="C21" s="24">
        <v>1</v>
      </c>
      <c r="D21" s="11"/>
      <c r="E21" s="91"/>
      <c r="F21" s="11"/>
      <c r="G21" s="41"/>
      <c r="H21" s="40"/>
    </row>
    <row r="22" spans="1:8" ht="21.6" customHeight="1" x14ac:dyDescent="0.2">
      <c r="A22" s="87" t="s">
        <v>138</v>
      </c>
      <c r="B22" s="4" t="s">
        <v>176</v>
      </c>
      <c r="C22" s="24">
        <v>2</v>
      </c>
      <c r="D22" s="11"/>
      <c r="E22" s="91"/>
      <c r="F22" s="11"/>
      <c r="G22" s="41"/>
      <c r="H22" s="40"/>
    </row>
    <row r="23" spans="1:8" ht="18.600000000000001" customHeight="1" x14ac:dyDescent="0.2">
      <c r="A23" s="12"/>
      <c r="B23" s="11"/>
      <c r="C23" s="13"/>
      <c r="D23" s="11"/>
      <c r="E23" s="91"/>
      <c r="F23" s="11"/>
      <c r="G23" s="41"/>
      <c r="H23" s="40"/>
    </row>
    <row r="24" spans="1:8" ht="18.600000000000001" customHeight="1" x14ac:dyDescent="0.2">
      <c r="A24" s="6" t="s">
        <v>140</v>
      </c>
      <c r="B24" s="4" t="s">
        <v>141</v>
      </c>
      <c r="C24" s="24">
        <v>3</v>
      </c>
      <c r="D24" s="11"/>
      <c r="E24" s="91"/>
      <c r="F24" s="11"/>
      <c r="G24" s="41"/>
      <c r="H24" s="40"/>
    </row>
    <row r="25" spans="1:8" ht="15.75" x14ac:dyDescent="0.2">
      <c r="A25" s="6"/>
      <c r="B25" s="4"/>
      <c r="C25" s="24"/>
      <c r="D25" s="11"/>
      <c r="E25" s="35"/>
      <c r="F25" s="11"/>
      <c r="G25" s="1"/>
      <c r="H25" s="40"/>
    </row>
    <row r="26" spans="1:8" ht="15.75" x14ac:dyDescent="0.2">
      <c r="A26" s="6" t="s">
        <v>142</v>
      </c>
      <c r="B26" s="4" t="s">
        <v>143</v>
      </c>
      <c r="C26" s="24">
        <v>3</v>
      </c>
      <c r="D26" s="11"/>
      <c r="E26" s="35"/>
      <c r="F26" s="11"/>
      <c r="G26" s="1"/>
      <c r="H26" s="40"/>
    </row>
    <row r="27" spans="1:8" ht="15.75" x14ac:dyDescent="0.2">
      <c r="A27" s="6"/>
      <c r="B27" s="4"/>
      <c r="C27" s="24"/>
      <c r="D27" s="11"/>
      <c r="E27" s="35"/>
      <c r="F27" s="11"/>
      <c r="G27" s="1"/>
      <c r="H27" s="40"/>
    </row>
    <row r="28" spans="1:8" ht="15.75" customHeight="1" x14ac:dyDescent="0.2">
      <c r="A28" s="93" t="s">
        <v>315</v>
      </c>
      <c r="B28" s="5" t="s">
        <v>294</v>
      </c>
      <c r="C28" s="246">
        <v>2</v>
      </c>
      <c r="D28" s="11"/>
      <c r="E28" s="35"/>
      <c r="F28" s="11"/>
      <c r="G28" s="1"/>
      <c r="H28" s="40"/>
    </row>
    <row r="29" spans="1:8" ht="15.75" x14ac:dyDescent="0.2">
      <c r="A29" s="93"/>
      <c r="B29" s="5"/>
      <c r="C29" s="96"/>
      <c r="D29" s="11"/>
      <c r="E29" s="35"/>
      <c r="F29" s="11"/>
      <c r="G29" s="1"/>
      <c r="H29" s="40"/>
    </row>
    <row r="30" spans="1:8" ht="15.75" x14ac:dyDescent="0.2">
      <c r="A30" s="6" t="s">
        <v>177</v>
      </c>
      <c r="B30" s="4" t="s">
        <v>135</v>
      </c>
      <c r="C30" s="24">
        <v>1</v>
      </c>
      <c r="D30" s="11"/>
      <c r="E30" s="91"/>
      <c r="F30" s="11"/>
      <c r="G30" s="1"/>
      <c r="H30" s="40"/>
    </row>
    <row r="31" spans="1:8" ht="15.75" x14ac:dyDescent="0.2">
      <c r="A31" s="12"/>
      <c r="B31" s="11"/>
      <c r="C31" s="11"/>
      <c r="D31" s="11"/>
      <c r="E31" s="35"/>
      <c r="F31" s="11"/>
      <c r="G31" s="1"/>
      <c r="H31" s="40"/>
    </row>
    <row r="32" spans="1:8" ht="15.75" x14ac:dyDescent="0.2">
      <c r="A32" s="87" t="s">
        <v>178</v>
      </c>
      <c r="B32" s="406" t="s">
        <v>139</v>
      </c>
      <c r="C32" s="410">
        <v>4</v>
      </c>
      <c r="D32" s="16"/>
      <c r="E32" s="17"/>
      <c r="F32" s="11"/>
      <c r="G32" s="1"/>
      <c r="H32" s="40"/>
    </row>
    <row r="33" spans="1:8" ht="16.5" thickBot="1" x14ac:dyDescent="0.25">
      <c r="A33" s="87" t="s">
        <v>178</v>
      </c>
      <c r="B33" s="406" t="s">
        <v>192</v>
      </c>
      <c r="C33" s="411">
        <v>1</v>
      </c>
      <c r="D33" s="407"/>
      <c r="E33" s="408"/>
      <c r="F33" s="409"/>
      <c r="G33" s="1"/>
      <c r="H33" s="40"/>
    </row>
    <row r="34" spans="1:8" ht="16.5" thickBot="1" x14ac:dyDescent="0.25">
      <c r="A34" s="282" t="s">
        <v>89</v>
      </c>
      <c r="B34" s="283"/>
      <c r="C34" s="284" t="s">
        <v>144</v>
      </c>
      <c r="D34" s="285"/>
      <c r="E34" s="52" t="s">
        <v>90</v>
      </c>
      <c r="F34" s="53"/>
      <c r="G34" s="1"/>
      <c r="H34" s="40"/>
    </row>
    <row r="35" spans="1:8" ht="32.25" thickBot="1" x14ac:dyDescent="0.25">
      <c r="A35" s="21" t="s">
        <v>52</v>
      </c>
      <c r="B35" s="22" t="s">
        <v>61</v>
      </c>
      <c r="C35" s="22" t="s">
        <v>0</v>
      </c>
      <c r="D35" s="22" t="s">
        <v>69</v>
      </c>
      <c r="E35" s="36"/>
      <c r="F35" s="22" t="s">
        <v>92</v>
      </c>
      <c r="G35" s="43"/>
      <c r="H35" s="40"/>
    </row>
    <row r="36" spans="1:8" ht="15.75" x14ac:dyDescent="0.2">
      <c r="A36" s="228" t="s">
        <v>145</v>
      </c>
      <c r="B36" s="15" t="s">
        <v>146</v>
      </c>
      <c r="C36" s="24">
        <v>6</v>
      </c>
      <c r="D36" s="10"/>
      <c r="E36" s="37"/>
      <c r="F36" s="10"/>
      <c r="G36" s="10"/>
      <c r="H36" s="44">
        <f>G36*C36</f>
        <v>0</v>
      </c>
    </row>
    <row r="37" spans="1:8" ht="15.75" x14ac:dyDescent="0.2">
      <c r="A37" s="228" t="s">
        <v>145</v>
      </c>
      <c r="B37" s="15" t="s">
        <v>147</v>
      </c>
      <c r="C37" s="24">
        <v>3</v>
      </c>
      <c r="D37" s="11"/>
      <c r="E37" s="34"/>
      <c r="F37" s="11"/>
      <c r="G37" s="11"/>
      <c r="H37" s="44">
        <f t="shared" ref="H37:H115" si="0">G37*C37</f>
        <v>0</v>
      </c>
    </row>
    <row r="38" spans="1:8" ht="15.75" x14ac:dyDescent="0.2">
      <c r="A38" s="229"/>
      <c r="B38" s="230"/>
      <c r="C38" s="231"/>
      <c r="D38" s="10"/>
      <c r="E38" s="37"/>
      <c r="F38" s="10"/>
      <c r="G38" s="11"/>
      <c r="H38" s="44">
        <f t="shared" si="0"/>
        <v>0</v>
      </c>
    </row>
    <row r="39" spans="1:8" ht="15.75" x14ac:dyDescent="0.2">
      <c r="A39" s="228" t="s">
        <v>75</v>
      </c>
      <c r="B39" s="15" t="s">
        <v>66</v>
      </c>
      <c r="C39" s="13">
        <v>5</v>
      </c>
      <c r="D39" s="48"/>
      <c r="E39" s="37"/>
      <c r="F39" s="10"/>
      <c r="G39" s="10"/>
      <c r="H39" s="44">
        <f t="shared" si="0"/>
        <v>0</v>
      </c>
    </row>
    <row r="40" spans="1:8" ht="15.75" x14ac:dyDescent="0.2">
      <c r="A40" s="232"/>
      <c r="B40" s="13"/>
      <c r="C40" s="231"/>
      <c r="D40" s="48"/>
      <c r="E40" s="37"/>
      <c r="F40" s="10"/>
      <c r="G40" s="10"/>
      <c r="H40" s="44"/>
    </row>
    <row r="41" spans="1:8" ht="15.75" x14ac:dyDescent="0.2">
      <c r="A41" s="228" t="s">
        <v>148</v>
      </c>
      <c r="B41" s="15" t="s">
        <v>306</v>
      </c>
      <c r="C41" s="231">
        <v>1</v>
      </c>
      <c r="D41" s="48"/>
      <c r="E41" s="37"/>
      <c r="F41" s="10"/>
      <c r="G41" s="10"/>
      <c r="H41" s="44"/>
    </row>
    <row r="42" spans="1:8" ht="15.75" x14ac:dyDescent="0.2">
      <c r="A42" s="228" t="s">
        <v>148</v>
      </c>
      <c r="B42" s="15" t="s">
        <v>300</v>
      </c>
      <c r="C42" s="231">
        <v>1</v>
      </c>
      <c r="D42" s="48"/>
      <c r="E42" s="37"/>
      <c r="F42" s="10"/>
      <c r="G42" s="10"/>
      <c r="H42" s="44"/>
    </row>
    <row r="43" spans="1:8" ht="15.75" x14ac:dyDescent="0.2">
      <c r="A43" s="228" t="s">
        <v>148</v>
      </c>
      <c r="B43" s="15" t="s">
        <v>307</v>
      </c>
      <c r="C43" s="231">
        <v>1</v>
      </c>
      <c r="D43" s="48"/>
      <c r="E43" s="37"/>
      <c r="F43" s="10"/>
      <c r="G43" s="10"/>
      <c r="H43" s="44"/>
    </row>
    <row r="44" spans="1:8" ht="15.75" x14ac:dyDescent="0.2">
      <c r="A44" s="228" t="s">
        <v>149</v>
      </c>
      <c r="B44" s="15" t="s">
        <v>150</v>
      </c>
      <c r="C44" s="24">
        <v>2</v>
      </c>
      <c r="D44" s="10"/>
      <c r="E44" s="37"/>
      <c r="F44" s="10"/>
      <c r="G44" s="10"/>
      <c r="H44" s="44"/>
    </row>
    <row r="45" spans="1:8" ht="21.6" customHeight="1" x14ac:dyDescent="0.2">
      <c r="A45" s="228" t="s">
        <v>151</v>
      </c>
      <c r="B45" s="15" t="s">
        <v>0</v>
      </c>
      <c r="C45" s="13">
        <v>6</v>
      </c>
      <c r="D45" s="10"/>
      <c r="E45" s="37"/>
      <c r="F45" s="10"/>
      <c r="G45" s="10"/>
      <c r="H45" s="44"/>
    </row>
    <row r="46" spans="1:8" ht="15.75" x14ac:dyDescent="0.2">
      <c r="A46" s="6"/>
      <c r="B46" s="49"/>
      <c r="C46" s="13"/>
      <c r="D46" s="10"/>
      <c r="E46" s="37"/>
      <c r="F46" s="10"/>
      <c r="G46" s="10"/>
      <c r="H46" s="44"/>
    </row>
    <row r="47" spans="1:8" ht="15.75" x14ac:dyDescent="0.2">
      <c r="A47" s="6" t="s">
        <v>152</v>
      </c>
      <c r="B47" s="49" t="s">
        <v>150</v>
      </c>
      <c r="C47" s="24">
        <v>10</v>
      </c>
      <c r="D47" s="10"/>
      <c r="E47" s="37"/>
      <c r="F47" s="10"/>
      <c r="G47" s="10"/>
      <c r="H47" s="44"/>
    </row>
    <row r="48" spans="1:8" ht="15.75" x14ac:dyDescent="0.2">
      <c r="A48" s="6" t="s">
        <v>153</v>
      </c>
      <c r="B48" s="49" t="s">
        <v>150</v>
      </c>
      <c r="C48" s="24">
        <v>9</v>
      </c>
      <c r="D48" s="10"/>
      <c r="E48" s="37"/>
      <c r="F48" s="10"/>
      <c r="G48" s="10"/>
      <c r="H48" s="44"/>
    </row>
    <row r="49" spans="1:8" ht="15.75" x14ac:dyDescent="0.2">
      <c r="A49" s="6" t="s">
        <v>154</v>
      </c>
      <c r="B49" s="49" t="s">
        <v>155</v>
      </c>
      <c r="C49" s="24">
        <v>10</v>
      </c>
      <c r="D49" s="10"/>
      <c r="E49" s="37"/>
      <c r="F49" s="10"/>
      <c r="G49" s="10"/>
      <c r="H49" s="44"/>
    </row>
    <row r="50" spans="1:8" ht="21.6" customHeight="1" x14ac:dyDescent="0.2">
      <c r="A50" s="6" t="s">
        <v>156</v>
      </c>
      <c r="B50" s="49" t="s">
        <v>157</v>
      </c>
      <c r="C50" s="24">
        <v>1</v>
      </c>
      <c r="D50" s="10"/>
      <c r="E50" s="37"/>
      <c r="F50" s="10"/>
      <c r="G50" s="10"/>
      <c r="H50" s="44"/>
    </row>
    <row r="51" spans="1:8" ht="15.75" x14ac:dyDescent="0.2">
      <c r="A51" s="6" t="s">
        <v>158</v>
      </c>
      <c r="B51" s="49" t="s">
        <v>157</v>
      </c>
      <c r="C51" s="24">
        <v>1</v>
      </c>
      <c r="D51" s="10"/>
      <c r="E51" s="37"/>
      <c r="F51" s="10"/>
      <c r="G51" s="10"/>
      <c r="H51" s="44"/>
    </row>
    <row r="52" spans="1:8" ht="15.75" x14ac:dyDescent="0.2">
      <c r="A52" s="6" t="s">
        <v>159</v>
      </c>
      <c r="B52" s="49" t="s">
        <v>155</v>
      </c>
      <c r="C52" s="24">
        <v>3</v>
      </c>
      <c r="D52" s="10"/>
      <c r="E52" s="37"/>
      <c r="F52" s="10"/>
      <c r="G52" s="10"/>
      <c r="H52" s="44"/>
    </row>
    <row r="53" spans="1:8" ht="15.75" x14ac:dyDescent="0.2">
      <c r="A53" s="6"/>
      <c r="B53" s="4"/>
      <c r="C53" s="24"/>
      <c r="D53" s="10"/>
      <c r="E53" s="37"/>
      <c r="F53" s="10"/>
      <c r="G53" s="10"/>
      <c r="H53" s="44"/>
    </row>
    <row r="54" spans="1:8" ht="15.75" x14ac:dyDescent="0.2">
      <c r="A54" s="6" t="s">
        <v>160</v>
      </c>
      <c r="B54" s="5" t="s">
        <v>161</v>
      </c>
      <c r="C54" s="24">
        <v>7</v>
      </c>
      <c r="D54" s="10"/>
      <c r="E54" s="37"/>
      <c r="F54" s="10"/>
      <c r="G54" s="10"/>
      <c r="H54" s="44"/>
    </row>
    <row r="55" spans="1:8" ht="15.75" x14ac:dyDescent="0.2">
      <c r="A55" s="6"/>
      <c r="B55" s="4"/>
      <c r="C55" s="24"/>
      <c r="D55" s="10"/>
      <c r="E55" s="37"/>
      <c r="F55" s="10"/>
      <c r="G55" s="10"/>
      <c r="H55" s="44"/>
    </row>
    <row r="56" spans="1:8" ht="15.75" x14ac:dyDescent="0.2">
      <c r="A56" s="6" t="s">
        <v>162</v>
      </c>
      <c r="B56" s="5" t="s">
        <v>163</v>
      </c>
      <c r="C56" s="24">
        <v>7</v>
      </c>
      <c r="D56" s="10"/>
      <c r="E56" s="37"/>
      <c r="F56" s="10"/>
      <c r="G56" s="10"/>
      <c r="H56" s="44"/>
    </row>
    <row r="57" spans="1:8" ht="15.75" x14ac:dyDescent="0.2">
      <c r="A57" s="6" t="s">
        <v>164</v>
      </c>
      <c r="B57" s="4" t="s">
        <v>66</v>
      </c>
      <c r="C57" s="24">
        <v>3</v>
      </c>
      <c r="D57" s="10"/>
      <c r="E57" s="37"/>
      <c r="F57" s="10"/>
      <c r="G57" s="10"/>
      <c r="H57" s="44"/>
    </row>
    <row r="58" spans="1:8" ht="15.75" x14ac:dyDescent="0.2">
      <c r="A58" s="6"/>
      <c r="B58" s="4"/>
      <c r="C58" s="24"/>
      <c r="D58" s="10"/>
      <c r="E58" s="37"/>
      <c r="F58" s="10"/>
      <c r="G58" s="10"/>
      <c r="H58" s="44"/>
    </row>
    <row r="59" spans="1:8" ht="15.75" x14ac:dyDescent="0.2">
      <c r="A59" s="87" t="s">
        <v>76</v>
      </c>
      <c r="B59" s="5" t="s">
        <v>77</v>
      </c>
      <c r="C59" s="24">
        <v>39</v>
      </c>
      <c r="D59" s="10"/>
      <c r="E59" s="37"/>
      <c r="F59" s="10"/>
      <c r="G59" s="10"/>
      <c r="H59" s="44"/>
    </row>
    <row r="60" spans="1:8" s="8" customFormat="1" ht="21.6" customHeight="1" x14ac:dyDescent="0.2">
      <c r="A60" s="87" t="s">
        <v>83</v>
      </c>
      <c r="B60" s="5" t="s">
        <v>73</v>
      </c>
      <c r="C60" s="24">
        <v>3</v>
      </c>
      <c r="D60" s="10"/>
      <c r="E60" s="37"/>
      <c r="F60" s="10"/>
      <c r="G60" s="10"/>
      <c r="H60" s="44"/>
    </row>
    <row r="61" spans="1:8" ht="15.75" x14ac:dyDescent="0.2">
      <c r="A61" s="6"/>
      <c r="B61" s="4"/>
      <c r="C61" s="24"/>
      <c r="D61" s="10"/>
      <c r="E61" s="37"/>
      <c r="F61" s="10"/>
      <c r="G61" s="10"/>
      <c r="H61" s="44"/>
    </row>
    <row r="62" spans="1:8" ht="20.45" customHeight="1" x14ac:dyDescent="0.2">
      <c r="A62" s="6" t="s">
        <v>78</v>
      </c>
      <c r="B62" s="5" t="s">
        <v>73</v>
      </c>
      <c r="C62" s="24">
        <v>8</v>
      </c>
      <c r="D62" s="48">
        <v>17.670000000000002</v>
      </c>
      <c r="E62" s="37"/>
      <c r="F62" s="10"/>
      <c r="G62" s="10"/>
      <c r="H62" s="44"/>
    </row>
    <row r="63" spans="1:8" ht="20.45" customHeight="1" x14ac:dyDescent="0.2">
      <c r="A63" s="6" t="s">
        <v>316</v>
      </c>
      <c r="B63" s="5" t="s">
        <v>318</v>
      </c>
      <c r="C63" s="24">
        <v>7</v>
      </c>
      <c r="D63" s="48">
        <v>17.7</v>
      </c>
      <c r="E63" s="37"/>
      <c r="F63" s="10"/>
      <c r="G63" s="10"/>
      <c r="H63" s="44"/>
    </row>
    <row r="64" spans="1:8" ht="16.149999999999999" customHeight="1" x14ac:dyDescent="0.2">
      <c r="A64" s="6"/>
      <c r="B64" s="5"/>
      <c r="C64" s="24"/>
      <c r="D64" s="10"/>
      <c r="E64" s="37"/>
      <c r="F64" s="10"/>
      <c r="G64" s="10"/>
      <c r="H64" s="44"/>
    </row>
    <row r="65" spans="1:8" ht="15.75" x14ac:dyDescent="0.2">
      <c r="A65" s="6" t="s">
        <v>165</v>
      </c>
      <c r="B65" s="11" t="s">
        <v>66</v>
      </c>
      <c r="C65" s="13">
        <v>9</v>
      </c>
      <c r="D65" s="10">
        <v>22.31</v>
      </c>
      <c r="E65" s="37"/>
      <c r="F65" s="10"/>
      <c r="G65" s="10"/>
      <c r="H65" s="44"/>
    </row>
    <row r="66" spans="1:8" ht="15.75" x14ac:dyDescent="0.2">
      <c r="A66" s="6" t="s">
        <v>317</v>
      </c>
      <c r="B66" s="5" t="s">
        <v>79</v>
      </c>
      <c r="C66" s="24">
        <v>9</v>
      </c>
      <c r="D66" s="10">
        <v>23.2</v>
      </c>
      <c r="E66" s="37"/>
      <c r="F66" s="10"/>
      <c r="G66" s="10"/>
      <c r="H66" s="44"/>
    </row>
    <row r="67" spans="1:8" ht="15.75" x14ac:dyDescent="0.2">
      <c r="A67" s="6" t="s">
        <v>166</v>
      </c>
      <c r="B67" s="11" t="s">
        <v>19</v>
      </c>
      <c r="C67" s="13">
        <v>9</v>
      </c>
      <c r="D67" s="10"/>
      <c r="E67" s="37"/>
      <c r="F67" s="10"/>
      <c r="G67" s="10"/>
      <c r="H67" s="44"/>
    </row>
    <row r="68" spans="1:8" ht="21.6" customHeight="1" x14ac:dyDescent="0.2">
      <c r="A68" s="6" t="s">
        <v>167</v>
      </c>
      <c r="B68" s="11" t="s">
        <v>0</v>
      </c>
      <c r="C68" s="13">
        <v>2</v>
      </c>
      <c r="D68" s="10"/>
      <c r="E68" s="37"/>
      <c r="F68" s="10"/>
      <c r="G68" s="10"/>
      <c r="H68" s="44"/>
    </row>
    <row r="69" spans="1:8" ht="15.75" x14ac:dyDescent="0.2">
      <c r="A69" s="6" t="s">
        <v>168</v>
      </c>
      <c r="B69" s="11" t="s">
        <v>80</v>
      </c>
      <c r="C69" s="24">
        <v>5</v>
      </c>
      <c r="D69" s="10"/>
      <c r="E69" s="37"/>
      <c r="F69" s="10"/>
      <c r="G69" s="10"/>
      <c r="H69" s="44"/>
    </row>
    <row r="70" spans="1:8" ht="15.75" x14ac:dyDescent="0.2">
      <c r="A70" s="6"/>
      <c r="B70" s="5"/>
      <c r="C70" s="24"/>
      <c r="D70" s="10"/>
      <c r="E70" s="37"/>
      <c r="F70" s="10"/>
      <c r="G70" s="10"/>
      <c r="H70" s="44"/>
    </row>
    <row r="71" spans="1:8" ht="15.75" x14ac:dyDescent="0.2">
      <c r="A71" s="6" t="s">
        <v>169</v>
      </c>
      <c r="B71" s="5" t="s">
        <v>170</v>
      </c>
      <c r="C71" s="24">
        <v>10</v>
      </c>
      <c r="D71" s="10"/>
      <c r="E71" s="37"/>
      <c r="F71" s="10"/>
      <c r="G71" s="10"/>
      <c r="H71" s="44"/>
    </row>
    <row r="72" spans="1:8" ht="18" customHeight="1" thickBot="1" x14ac:dyDescent="0.25">
      <c r="A72" s="6" t="s">
        <v>171</v>
      </c>
      <c r="B72" s="5" t="s">
        <v>77</v>
      </c>
      <c r="C72" s="24">
        <v>7</v>
      </c>
      <c r="D72" s="10"/>
      <c r="E72" s="37"/>
      <c r="F72" s="10"/>
      <c r="G72" s="10"/>
      <c r="H72" s="44"/>
    </row>
    <row r="73" spans="1:8" ht="16.5" thickBot="1" x14ac:dyDescent="0.25">
      <c r="A73" s="282" t="s">
        <v>89</v>
      </c>
      <c r="B73" s="283"/>
      <c r="C73" s="284" t="s">
        <v>93</v>
      </c>
      <c r="D73" s="285"/>
      <c r="E73" s="52" t="s">
        <v>90</v>
      </c>
      <c r="F73" s="53"/>
      <c r="G73" s="51"/>
      <c r="H73" s="44"/>
    </row>
    <row r="74" spans="1:8" ht="30" customHeight="1" thickBot="1" x14ac:dyDescent="0.25">
      <c r="A74" s="21" t="s">
        <v>119</v>
      </c>
      <c r="B74" s="22" t="s">
        <v>50</v>
      </c>
      <c r="C74" s="22" t="s">
        <v>0</v>
      </c>
      <c r="D74" s="22" t="s">
        <v>56</v>
      </c>
      <c r="E74" s="36" t="s">
        <v>57</v>
      </c>
      <c r="F74" s="22" t="s">
        <v>92</v>
      </c>
      <c r="G74" s="10"/>
      <c r="H74" s="44"/>
    </row>
    <row r="75" spans="1:8" ht="21" customHeight="1" x14ac:dyDescent="0.2">
      <c r="A75" s="228" t="s">
        <v>172</v>
      </c>
      <c r="B75" s="233" t="s">
        <v>238</v>
      </c>
      <c r="C75" s="232">
        <v>49</v>
      </c>
      <c r="D75" s="12"/>
      <c r="E75" s="94"/>
      <c r="F75" s="95"/>
      <c r="G75" s="10"/>
      <c r="H75" s="44"/>
    </row>
    <row r="76" spans="1:8" ht="15.75" x14ac:dyDescent="0.2">
      <c r="A76" s="6"/>
      <c r="B76" s="93"/>
      <c r="C76" s="12"/>
      <c r="D76" s="12"/>
      <c r="E76" s="94"/>
      <c r="F76" s="95"/>
      <c r="G76" s="10"/>
      <c r="H76" s="44"/>
    </row>
    <row r="77" spans="1:8" ht="21.6" customHeight="1" x14ac:dyDescent="0.2">
      <c r="A77" s="6" t="s">
        <v>186</v>
      </c>
      <c r="B77" s="93" t="s">
        <v>308</v>
      </c>
      <c r="C77" s="232">
        <v>9</v>
      </c>
      <c r="D77" s="12"/>
      <c r="E77" s="95"/>
      <c r="F77" s="95"/>
      <c r="G77" s="10"/>
      <c r="H77" s="44"/>
    </row>
    <row r="78" spans="1:8" ht="21.6" customHeight="1" thickBot="1" x14ac:dyDescent="0.25">
      <c r="A78" s="6" t="s">
        <v>187</v>
      </c>
      <c r="B78" s="93" t="s">
        <v>309</v>
      </c>
      <c r="C78" s="232">
        <v>3</v>
      </c>
      <c r="D78" s="12"/>
      <c r="E78" s="95"/>
      <c r="F78" s="95"/>
      <c r="G78" s="51"/>
      <c r="H78" s="44"/>
    </row>
    <row r="79" spans="1:8" ht="16.5" thickBot="1" x14ac:dyDescent="0.25">
      <c r="A79" s="282" t="s">
        <v>89</v>
      </c>
      <c r="B79" s="283"/>
      <c r="C79" s="284" t="s">
        <v>93</v>
      </c>
      <c r="D79" s="285"/>
      <c r="E79" s="52" t="s">
        <v>90</v>
      </c>
      <c r="F79" s="53"/>
      <c r="G79" s="51"/>
      <c r="H79" s="44"/>
    </row>
    <row r="80" spans="1:8" ht="15.75" customHeight="1" thickBot="1" x14ac:dyDescent="0.25">
      <c r="A80" s="21" t="s">
        <v>55</v>
      </c>
      <c r="B80" s="22" t="s">
        <v>50</v>
      </c>
      <c r="C80" s="22" t="s">
        <v>0</v>
      </c>
      <c r="D80" s="22" t="s">
        <v>56</v>
      </c>
      <c r="E80" s="36" t="s">
        <v>57</v>
      </c>
      <c r="F80" s="22" t="s">
        <v>92</v>
      </c>
      <c r="G80" s="43"/>
      <c r="H80" s="44"/>
    </row>
    <row r="81" spans="1:8" ht="15.75" customHeight="1" x14ac:dyDescent="0.2">
      <c r="A81" s="232" t="s">
        <v>298</v>
      </c>
      <c r="B81" s="13" t="s">
        <v>299</v>
      </c>
      <c r="C81" s="13">
        <v>25</v>
      </c>
      <c r="D81" s="11"/>
      <c r="E81" s="11"/>
      <c r="F81" s="11"/>
      <c r="G81" s="11"/>
      <c r="H81" s="44"/>
    </row>
    <row r="82" spans="1:8" ht="15.75" customHeight="1" x14ac:dyDescent="0.2">
      <c r="A82" s="232" t="s">
        <v>298</v>
      </c>
      <c r="B82" s="13" t="s">
        <v>33</v>
      </c>
      <c r="C82" s="13">
        <v>7</v>
      </c>
      <c r="D82" s="11"/>
      <c r="E82" s="11"/>
      <c r="F82" s="11"/>
      <c r="G82" s="11"/>
      <c r="H82" s="44"/>
    </row>
    <row r="83" spans="1:8" ht="15.75" customHeight="1" x14ac:dyDescent="0.2">
      <c r="A83" s="232" t="s">
        <v>310</v>
      </c>
      <c r="B83" s="13" t="s">
        <v>84</v>
      </c>
      <c r="C83" s="13">
        <v>15</v>
      </c>
      <c r="D83" s="11">
        <v>14.1</v>
      </c>
      <c r="E83" s="11"/>
      <c r="F83" s="11"/>
      <c r="G83" s="11"/>
      <c r="H83" s="44"/>
    </row>
    <row r="84" spans="1:8" ht="15.75" customHeight="1" x14ac:dyDescent="0.2">
      <c r="A84" s="6"/>
      <c r="B84" s="85"/>
      <c r="C84" s="13"/>
      <c r="D84" s="13"/>
      <c r="E84" s="11"/>
      <c r="F84" s="11"/>
      <c r="G84" s="11"/>
      <c r="H84" s="44"/>
    </row>
    <row r="85" spans="1:8" ht="15.75" customHeight="1" x14ac:dyDescent="0.2">
      <c r="A85" s="12" t="s">
        <v>311</v>
      </c>
      <c r="B85" s="11" t="s">
        <v>19</v>
      </c>
      <c r="C85" s="13">
        <v>4</v>
      </c>
      <c r="D85" s="13"/>
      <c r="E85" s="11"/>
      <c r="F85" s="11"/>
      <c r="G85" s="11"/>
      <c r="H85" s="44"/>
    </row>
    <row r="86" spans="1:8" ht="15.75" customHeight="1" x14ac:dyDescent="0.2">
      <c r="A86" s="86"/>
      <c r="B86" s="11"/>
      <c r="C86" s="13"/>
      <c r="D86" s="13"/>
      <c r="E86" s="11"/>
      <c r="F86" s="11"/>
      <c r="G86" s="11"/>
      <c r="H86" s="44"/>
    </row>
    <row r="87" spans="1:8" ht="15.75" customHeight="1" thickBot="1" x14ac:dyDescent="0.25">
      <c r="A87" s="232" t="s">
        <v>38</v>
      </c>
      <c r="B87" s="13" t="s">
        <v>41</v>
      </c>
      <c r="C87" s="13">
        <v>9</v>
      </c>
      <c r="D87" s="13"/>
      <c r="E87" s="11"/>
      <c r="F87" s="11"/>
      <c r="G87" s="11"/>
      <c r="H87" s="44"/>
    </row>
    <row r="88" spans="1:8" ht="16.149999999999999" customHeight="1" thickBot="1" x14ac:dyDescent="0.25">
      <c r="A88" s="282" t="s">
        <v>89</v>
      </c>
      <c r="B88" s="283"/>
      <c r="C88" s="284" t="s">
        <v>94</v>
      </c>
      <c r="D88" s="285"/>
      <c r="E88" s="52" t="s">
        <v>90</v>
      </c>
      <c r="F88" s="56"/>
      <c r="G88" s="57"/>
      <c r="H88" s="44" t="e">
        <f t="shared" si="0"/>
        <v>#VALUE!</v>
      </c>
    </row>
    <row r="89" spans="1:8" ht="32.25" thickBot="1" x14ac:dyDescent="0.25">
      <c r="A89" s="21" t="s">
        <v>99</v>
      </c>
      <c r="B89" s="22" t="s">
        <v>50</v>
      </c>
      <c r="C89" s="22" t="s">
        <v>0</v>
      </c>
      <c r="D89" s="22" t="s">
        <v>56</v>
      </c>
      <c r="E89" s="36" t="s">
        <v>57</v>
      </c>
      <c r="F89" s="22" t="s">
        <v>92</v>
      </c>
      <c r="G89" s="57"/>
      <c r="H89" s="44"/>
    </row>
    <row r="90" spans="1:8" ht="16.149999999999999" customHeight="1" x14ac:dyDescent="0.2">
      <c r="A90" s="234" t="s">
        <v>313</v>
      </c>
      <c r="B90" s="13" t="s">
        <v>21</v>
      </c>
      <c r="C90" s="13">
        <v>20</v>
      </c>
      <c r="D90" s="13">
        <v>58.16</v>
      </c>
      <c r="E90" s="235"/>
      <c r="F90" s="11"/>
      <c r="G90" s="57"/>
      <c r="H90" s="44"/>
    </row>
    <row r="91" spans="1:8" ht="16.899999999999999" customHeight="1" x14ac:dyDescent="0.2">
      <c r="A91" s="234" t="s">
        <v>312</v>
      </c>
      <c r="B91" s="13" t="s">
        <v>21</v>
      </c>
      <c r="C91" s="13">
        <v>6</v>
      </c>
      <c r="D91" s="13">
        <v>17.350000000000001</v>
      </c>
      <c r="E91" s="235"/>
      <c r="F91" s="11"/>
      <c r="G91" s="57"/>
      <c r="H91" s="44"/>
    </row>
    <row r="92" spans="1:8" ht="16.899999999999999" customHeight="1" x14ac:dyDescent="0.2">
      <c r="A92" s="236"/>
      <c r="B92" s="236"/>
      <c r="C92" s="13"/>
      <c r="D92" s="13"/>
      <c r="E92" s="235"/>
      <c r="F92" s="11"/>
      <c r="G92" s="57"/>
      <c r="H92" s="44"/>
    </row>
    <row r="93" spans="1:8" ht="16.899999999999999" customHeight="1" x14ac:dyDescent="0.2">
      <c r="A93" s="234" t="s">
        <v>70</v>
      </c>
      <c r="B93" s="13" t="s">
        <v>21</v>
      </c>
      <c r="C93" s="13">
        <v>54</v>
      </c>
      <c r="D93" s="13">
        <v>153</v>
      </c>
      <c r="E93" s="235">
        <v>182</v>
      </c>
      <c r="F93" s="11"/>
      <c r="G93" s="57"/>
      <c r="H93" s="44"/>
    </row>
    <row r="94" spans="1:8" ht="16.899999999999999" customHeight="1" x14ac:dyDescent="0.2">
      <c r="A94" s="234" t="s">
        <v>39</v>
      </c>
      <c r="B94" s="13" t="s">
        <v>21</v>
      </c>
      <c r="C94" s="13">
        <v>7</v>
      </c>
      <c r="D94" s="13">
        <v>19</v>
      </c>
      <c r="E94" s="235">
        <v>21</v>
      </c>
      <c r="F94" s="11"/>
      <c r="G94" s="57"/>
      <c r="H94" s="44"/>
    </row>
    <row r="95" spans="1:8" ht="16.899999999999999" customHeight="1" thickBot="1" x14ac:dyDescent="0.25">
      <c r="A95" s="237" t="s">
        <v>184</v>
      </c>
      <c r="B95" s="238" t="s">
        <v>185</v>
      </c>
      <c r="C95" s="238">
        <v>3</v>
      </c>
      <c r="D95" s="238">
        <v>172</v>
      </c>
      <c r="E95" s="238">
        <v>203</v>
      </c>
      <c r="F95" s="16"/>
      <c r="G95" s="57"/>
      <c r="H95" s="44"/>
    </row>
    <row r="96" spans="1:8" ht="40.9" customHeight="1" thickBot="1" x14ac:dyDescent="0.25">
      <c r="A96" s="282" t="s">
        <v>89</v>
      </c>
      <c r="B96" s="283"/>
      <c r="C96" s="284" t="s">
        <v>94</v>
      </c>
      <c r="D96" s="285"/>
      <c r="E96" s="52" t="s">
        <v>90</v>
      </c>
      <c r="F96" s="56"/>
      <c r="G96" s="57"/>
      <c r="H96" s="44"/>
    </row>
    <row r="97" spans="1:11" ht="16.899999999999999" customHeight="1" thickBot="1" x14ac:dyDescent="0.25">
      <c r="A97" s="21" t="s">
        <v>59</v>
      </c>
      <c r="B97" s="22" t="s">
        <v>50</v>
      </c>
      <c r="C97" s="22" t="s">
        <v>0</v>
      </c>
      <c r="D97" s="22" t="s">
        <v>69</v>
      </c>
      <c r="E97" s="36"/>
      <c r="F97" s="22" t="s">
        <v>92</v>
      </c>
      <c r="G97" s="43"/>
      <c r="H97" s="44"/>
    </row>
    <row r="98" spans="1:11" ht="15.75" customHeight="1" x14ac:dyDescent="0.2">
      <c r="A98" s="228" t="s">
        <v>301</v>
      </c>
      <c r="B98" s="239" t="s">
        <v>40</v>
      </c>
      <c r="C98" s="240">
        <v>5</v>
      </c>
      <c r="D98" s="24">
        <v>17.7</v>
      </c>
      <c r="E98" s="23"/>
      <c r="F98" s="11"/>
      <c r="G98" s="11"/>
      <c r="H98" s="44">
        <f t="shared" si="0"/>
        <v>0</v>
      </c>
    </row>
    <row r="99" spans="1:11" ht="15.75" x14ac:dyDescent="0.2">
      <c r="A99" s="232" t="s">
        <v>35</v>
      </c>
      <c r="B99" s="239" t="s">
        <v>0</v>
      </c>
      <c r="C99" s="24">
        <v>6</v>
      </c>
      <c r="D99" s="24"/>
      <c r="E99" s="34"/>
      <c r="F99" s="11"/>
      <c r="G99" s="11"/>
      <c r="H99" s="44">
        <f t="shared" si="0"/>
        <v>0</v>
      </c>
    </row>
    <row r="100" spans="1:11" s="8" customFormat="1" ht="15.75" x14ac:dyDescent="0.2">
      <c r="A100" s="232" t="s">
        <v>36</v>
      </c>
      <c r="B100" s="239" t="s">
        <v>0</v>
      </c>
      <c r="C100" s="24">
        <v>6</v>
      </c>
      <c r="D100" s="24"/>
      <c r="E100" s="34"/>
      <c r="F100" s="11"/>
      <c r="G100" s="11"/>
      <c r="H100" s="44">
        <f t="shared" si="0"/>
        <v>0</v>
      </c>
      <c r="I100" s="3"/>
      <c r="J100" s="3"/>
      <c r="K100" s="3"/>
    </row>
    <row r="101" spans="1:11" s="8" customFormat="1" ht="15.75" x14ac:dyDescent="0.2">
      <c r="A101" s="232" t="s">
        <v>85</v>
      </c>
      <c r="B101" s="239" t="s">
        <v>86</v>
      </c>
      <c r="C101" s="13">
        <v>6</v>
      </c>
      <c r="D101" s="13"/>
      <c r="E101" s="34"/>
      <c r="F101" s="11"/>
      <c r="G101" s="11"/>
      <c r="H101" s="44">
        <f t="shared" si="0"/>
        <v>0</v>
      </c>
      <c r="I101" s="3"/>
      <c r="J101" s="3"/>
      <c r="K101" s="3"/>
    </row>
    <row r="102" spans="1:11" ht="15.75" x14ac:dyDescent="0.2">
      <c r="A102" s="232" t="s">
        <v>85</v>
      </c>
      <c r="B102" s="239" t="s">
        <v>173</v>
      </c>
      <c r="C102" s="13">
        <v>6</v>
      </c>
      <c r="D102" s="13"/>
      <c r="E102" s="34"/>
      <c r="F102" s="11"/>
      <c r="G102" s="11"/>
      <c r="H102" s="44"/>
    </row>
    <row r="103" spans="1:11" ht="15.75" x14ac:dyDescent="0.2">
      <c r="A103" s="232" t="s">
        <v>87</v>
      </c>
      <c r="B103" s="239" t="s">
        <v>0</v>
      </c>
      <c r="C103" s="24">
        <v>12</v>
      </c>
      <c r="D103" s="24"/>
      <c r="E103" s="34"/>
      <c r="F103" s="11"/>
      <c r="G103" s="11"/>
      <c r="H103" s="44">
        <f t="shared" si="0"/>
        <v>0</v>
      </c>
    </row>
    <row r="104" spans="1:11" ht="15.75" x14ac:dyDescent="0.2">
      <c r="A104" s="232" t="s">
        <v>88</v>
      </c>
      <c r="B104" s="239" t="s">
        <v>0</v>
      </c>
      <c r="C104" s="24">
        <v>6</v>
      </c>
      <c r="D104" s="24"/>
      <c r="E104" s="34"/>
      <c r="F104" s="11"/>
      <c r="G104" s="11"/>
      <c r="H104" s="44"/>
    </row>
    <row r="105" spans="1:11" ht="15.75" x14ac:dyDescent="0.2">
      <c r="A105" s="232" t="s">
        <v>34</v>
      </c>
      <c r="B105" s="239" t="s">
        <v>0</v>
      </c>
      <c r="C105" s="24">
        <v>12</v>
      </c>
      <c r="D105" s="24"/>
      <c r="E105" s="34"/>
      <c r="F105" s="11"/>
      <c r="G105" s="11"/>
      <c r="H105" s="44">
        <f t="shared" si="0"/>
        <v>0</v>
      </c>
    </row>
    <row r="106" spans="1:11" ht="15.75" customHeight="1" thickBot="1" x14ac:dyDescent="0.25">
      <c r="A106" s="241" t="s">
        <v>42</v>
      </c>
      <c r="B106" s="242" t="s">
        <v>0</v>
      </c>
      <c r="C106" s="243">
        <v>40</v>
      </c>
      <c r="D106" s="243"/>
      <c r="E106" s="34"/>
      <c r="F106" s="16"/>
      <c r="G106" s="11"/>
      <c r="H106" s="44">
        <f t="shared" si="0"/>
        <v>0</v>
      </c>
    </row>
    <row r="107" spans="1:11" ht="16.5" thickBot="1" x14ac:dyDescent="0.25">
      <c r="A107" s="282" t="s">
        <v>89</v>
      </c>
      <c r="B107" s="283"/>
      <c r="C107" s="284" t="s">
        <v>95</v>
      </c>
      <c r="D107" s="285"/>
      <c r="E107" s="52" t="s">
        <v>90</v>
      </c>
      <c r="F107" s="56"/>
      <c r="G107" s="57"/>
      <c r="H107" s="45" t="e">
        <f t="shared" si="0"/>
        <v>#VALUE!</v>
      </c>
    </row>
    <row r="108" spans="1:11" s="8" customFormat="1" ht="16.149999999999999" customHeight="1" thickBot="1" x14ac:dyDescent="0.25">
      <c r="A108" s="21" t="s">
        <v>30</v>
      </c>
      <c r="B108" s="22" t="s">
        <v>50</v>
      </c>
      <c r="C108" s="22" t="s">
        <v>0</v>
      </c>
      <c r="D108" s="22"/>
      <c r="E108" s="36"/>
      <c r="F108" s="22" t="s">
        <v>92</v>
      </c>
      <c r="G108" s="43"/>
      <c r="H108" s="44"/>
      <c r="I108" s="3"/>
      <c r="J108" s="3"/>
      <c r="K108" s="3"/>
    </row>
    <row r="109" spans="1:11" ht="15.75" x14ac:dyDescent="0.2">
      <c r="A109" s="232" t="s">
        <v>179</v>
      </c>
      <c r="B109" s="13" t="s">
        <v>180</v>
      </c>
      <c r="C109" s="13">
        <v>1</v>
      </c>
      <c r="D109" s="11"/>
      <c r="E109" s="34"/>
      <c r="F109" s="11"/>
      <c r="G109" s="11"/>
      <c r="H109" s="44">
        <f t="shared" si="0"/>
        <v>0</v>
      </c>
    </row>
    <row r="110" spans="1:11" ht="15.75" x14ac:dyDescent="0.2">
      <c r="A110" s="232" t="s">
        <v>302</v>
      </c>
      <c r="B110" s="13" t="s">
        <v>181</v>
      </c>
      <c r="C110" s="13">
        <v>5</v>
      </c>
      <c r="D110" s="13"/>
      <c r="E110" s="34"/>
      <c r="F110" s="11"/>
      <c r="G110" s="11"/>
      <c r="H110" s="44">
        <f t="shared" si="0"/>
        <v>0</v>
      </c>
    </row>
    <row r="111" spans="1:11" ht="15.75" x14ac:dyDescent="0.2">
      <c r="A111" s="232"/>
      <c r="B111" s="13"/>
      <c r="C111" s="13"/>
      <c r="D111" s="11"/>
      <c r="E111" s="34"/>
      <c r="F111" s="11"/>
      <c r="G111" s="11"/>
      <c r="H111" s="44"/>
    </row>
    <row r="112" spans="1:11" ht="15.75" x14ac:dyDescent="0.2">
      <c r="A112" s="232" t="s">
        <v>72</v>
      </c>
      <c r="B112" s="13" t="s">
        <v>182</v>
      </c>
      <c r="C112" s="13">
        <v>3</v>
      </c>
      <c r="D112" s="11"/>
      <c r="E112" s="34"/>
      <c r="F112" s="11"/>
      <c r="G112" s="11"/>
      <c r="H112" s="44"/>
    </row>
    <row r="113" spans="1:11" ht="15.75" x14ac:dyDescent="0.2">
      <c r="A113" s="232" t="s">
        <v>72</v>
      </c>
      <c r="B113" s="13" t="s">
        <v>303</v>
      </c>
      <c r="C113" s="13">
        <v>2</v>
      </c>
      <c r="D113" s="11"/>
      <c r="E113" s="34"/>
      <c r="F113" s="11"/>
      <c r="G113" s="11"/>
      <c r="H113" s="44"/>
    </row>
    <row r="114" spans="1:11" ht="16.5" thickBot="1" x14ac:dyDescent="0.25">
      <c r="A114" s="241" t="s">
        <v>241</v>
      </c>
      <c r="B114" s="238" t="s">
        <v>183</v>
      </c>
      <c r="C114" s="238">
        <v>1</v>
      </c>
      <c r="D114" s="16"/>
      <c r="E114" s="34"/>
      <c r="F114" s="16"/>
      <c r="G114" s="11"/>
      <c r="H114" s="44"/>
    </row>
    <row r="115" spans="1:11" ht="35.450000000000003" customHeight="1" thickBot="1" x14ac:dyDescent="0.25">
      <c r="A115" s="282" t="s">
        <v>89</v>
      </c>
      <c r="B115" s="283"/>
      <c r="C115" s="284" t="s">
        <v>94</v>
      </c>
      <c r="D115" s="285"/>
      <c r="E115" s="52" t="s">
        <v>90</v>
      </c>
      <c r="F115" s="56"/>
      <c r="G115" s="57"/>
      <c r="H115" s="44" t="e">
        <f t="shared" si="0"/>
        <v>#VALUE!</v>
      </c>
    </row>
    <row r="116" spans="1:11" ht="32.25" thickBot="1" x14ac:dyDescent="0.25">
      <c r="A116" s="21" t="s">
        <v>91</v>
      </c>
      <c r="B116" s="64" t="s">
        <v>50</v>
      </c>
      <c r="C116" s="64" t="s">
        <v>0</v>
      </c>
      <c r="D116" s="64" t="s">
        <v>56</v>
      </c>
      <c r="E116" s="63" t="s">
        <v>57</v>
      </c>
      <c r="F116" s="22" t="s">
        <v>92</v>
      </c>
      <c r="G116" s="65"/>
      <c r="H116" s="44"/>
    </row>
    <row r="117" spans="1:11" ht="15.75" x14ac:dyDescent="0.2">
      <c r="A117" s="6" t="s">
        <v>188</v>
      </c>
      <c r="B117" s="5" t="s">
        <v>174</v>
      </c>
      <c r="C117" s="24">
        <v>3</v>
      </c>
      <c r="D117" s="11"/>
      <c r="E117" s="34"/>
      <c r="F117" s="11"/>
      <c r="G117" s="11"/>
      <c r="H117" s="44"/>
    </row>
    <row r="118" spans="1:11" ht="15.75" x14ac:dyDescent="0.2">
      <c r="A118" s="6"/>
      <c r="B118" s="5"/>
      <c r="C118" s="24"/>
      <c r="D118" s="11"/>
      <c r="E118" s="34"/>
      <c r="F118" s="11"/>
      <c r="G118" s="11"/>
      <c r="H118" s="44"/>
    </row>
    <row r="119" spans="1:11" ht="16.5" thickBot="1" x14ac:dyDescent="0.25">
      <c r="A119" s="6" t="s">
        <v>175</v>
      </c>
      <c r="B119" s="5" t="s">
        <v>0</v>
      </c>
      <c r="C119" s="24">
        <v>21</v>
      </c>
      <c r="D119" s="11"/>
      <c r="E119" s="34"/>
      <c r="F119" s="11"/>
      <c r="G119" s="11"/>
      <c r="H119" s="44"/>
    </row>
    <row r="120" spans="1:11" s="8" customFormat="1" ht="16.5" thickBot="1" x14ac:dyDescent="0.25">
      <c r="A120" s="282" t="s">
        <v>89</v>
      </c>
      <c r="B120" s="283"/>
      <c r="C120" s="284" t="s">
        <v>94</v>
      </c>
      <c r="D120" s="285"/>
      <c r="E120" s="52" t="s">
        <v>90</v>
      </c>
      <c r="F120" s="56"/>
      <c r="G120" s="43"/>
      <c r="H120" s="44"/>
      <c r="I120" s="3"/>
      <c r="J120" s="3"/>
      <c r="K120" s="3"/>
    </row>
    <row r="121" spans="1:11" ht="32.25" thickBot="1" x14ac:dyDescent="0.25">
      <c r="A121" s="21" t="s">
        <v>32</v>
      </c>
      <c r="B121" s="22" t="s">
        <v>50</v>
      </c>
      <c r="C121" s="22" t="s">
        <v>0</v>
      </c>
      <c r="D121" s="22"/>
      <c r="E121" s="36"/>
      <c r="F121" s="22" t="s">
        <v>82</v>
      </c>
      <c r="G121" s="11"/>
      <c r="H121" s="44" t="e">
        <f>G121*#REF!</f>
        <v>#REF!</v>
      </c>
    </row>
    <row r="122" spans="1:11" ht="15.75" x14ac:dyDescent="0.2">
      <c r="A122" s="228" t="s">
        <v>25</v>
      </c>
      <c r="B122" s="14" t="s">
        <v>1</v>
      </c>
      <c r="C122" s="13">
        <v>500</v>
      </c>
      <c r="D122" s="11"/>
      <c r="E122" s="11"/>
      <c r="F122" s="11"/>
      <c r="G122" s="46"/>
      <c r="H122" s="44"/>
    </row>
    <row r="123" spans="1:11" ht="15.75" x14ac:dyDescent="0.2">
      <c r="A123" s="228" t="s">
        <v>24</v>
      </c>
      <c r="B123" s="14" t="s">
        <v>1</v>
      </c>
      <c r="C123" s="13">
        <v>3750</v>
      </c>
      <c r="D123" s="11"/>
      <c r="E123" s="11"/>
      <c r="F123" s="11"/>
      <c r="G123" s="46"/>
      <c r="H123" s="44"/>
    </row>
    <row r="124" spans="1:11" ht="15.75" x14ac:dyDescent="0.2">
      <c r="A124" s="228" t="s">
        <v>189</v>
      </c>
      <c r="B124" s="14" t="s">
        <v>1</v>
      </c>
      <c r="C124" s="13">
        <v>1000</v>
      </c>
      <c r="D124" s="11"/>
      <c r="E124" s="11"/>
      <c r="F124" s="11"/>
      <c r="G124" s="46"/>
      <c r="H124" s="44"/>
    </row>
    <row r="125" spans="1:11" ht="15.75" x14ac:dyDescent="0.2">
      <c r="A125" s="228" t="s">
        <v>12</v>
      </c>
      <c r="B125" s="14" t="s">
        <v>1</v>
      </c>
      <c r="C125" s="14">
        <v>120</v>
      </c>
      <c r="D125" s="11"/>
      <c r="E125" s="11"/>
      <c r="F125" s="11"/>
      <c r="G125" s="46"/>
      <c r="H125" s="44"/>
    </row>
    <row r="126" spans="1:11" ht="15.75" x14ac:dyDescent="0.2">
      <c r="A126" s="228" t="s">
        <v>242</v>
      </c>
      <c r="B126" s="14" t="s">
        <v>1</v>
      </c>
      <c r="C126" s="14">
        <v>1000</v>
      </c>
      <c r="D126" s="11"/>
      <c r="E126" s="11"/>
      <c r="F126" s="11"/>
      <c r="G126" s="46"/>
      <c r="H126" s="44"/>
    </row>
    <row r="127" spans="1:11" ht="15.75" x14ac:dyDescent="0.2">
      <c r="A127" s="228" t="s">
        <v>130</v>
      </c>
      <c r="B127" s="14" t="s">
        <v>1</v>
      </c>
      <c r="C127" s="14">
        <v>750</v>
      </c>
      <c r="D127" s="11"/>
      <c r="E127" s="11"/>
      <c r="F127" s="11"/>
      <c r="G127" s="46"/>
      <c r="H127" s="44"/>
    </row>
    <row r="128" spans="1:11" ht="15.75" x14ac:dyDescent="0.2">
      <c r="A128" s="244" t="s">
        <v>26</v>
      </c>
      <c r="B128" s="14" t="s">
        <v>0</v>
      </c>
      <c r="C128" s="15">
        <v>6</v>
      </c>
      <c r="D128" s="14"/>
      <c r="E128" s="35"/>
      <c r="F128" s="1"/>
      <c r="G128" s="1"/>
      <c r="H128" s="44">
        <f t="shared" ref="H128:H129" si="1">G128*C129</f>
        <v>0</v>
      </c>
    </row>
    <row r="129" spans="1:8" ht="15.75" x14ac:dyDescent="0.2">
      <c r="A129" s="244" t="s">
        <v>27</v>
      </c>
      <c r="B129" s="14" t="s">
        <v>0</v>
      </c>
      <c r="C129" s="15">
        <v>6</v>
      </c>
      <c r="D129" s="14"/>
      <c r="E129" s="35"/>
      <c r="F129" s="1"/>
      <c r="G129" s="47"/>
      <c r="H129" s="44">
        <f t="shared" si="1"/>
        <v>0</v>
      </c>
    </row>
    <row r="130" spans="1:8" ht="15.75" x14ac:dyDescent="0.2">
      <c r="A130" s="244" t="s">
        <v>28</v>
      </c>
      <c r="B130" s="14" t="s">
        <v>0</v>
      </c>
      <c r="C130" s="15">
        <v>6</v>
      </c>
      <c r="D130" s="15"/>
      <c r="E130" s="7"/>
      <c r="F130" s="47"/>
      <c r="G130" s="47"/>
      <c r="H130" s="44" t="e">
        <f>G130*#REF!</f>
        <v>#REF!</v>
      </c>
    </row>
    <row r="131" spans="1:8" ht="15.75" x14ac:dyDescent="0.2">
      <c r="A131" s="244" t="s">
        <v>239</v>
      </c>
      <c r="B131" s="14" t="s">
        <v>0</v>
      </c>
      <c r="C131" s="15">
        <v>6</v>
      </c>
      <c r="D131" s="15"/>
      <c r="E131" s="7"/>
      <c r="F131" s="47"/>
      <c r="G131" s="166"/>
      <c r="H131" s="62"/>
    </row>
    <row r="132" spans="1:8" ht="16.5" thickBot="1" x14ac:dyDescent="0.25">
      <c r="A132" s="244" t="s">
        <v>240</v>
      </c>
      <c r="B132" s="14" t="s">
        <v>23</v>
      </c>
      <c r="C132" s="15">
        <v>2</v>
      </c>
      <c r="D132" s="15"/>
      <c r="E132" s="7"/>
      <c r="F132" s="47"/>
      <c r="G132" s="166"/>
      <c r="H132" s="62"/>
    </row>
    <row r="133" spans="1:8" ht="16.5" thickBot="1" x14ac:dyDescent="0.25">
      <c r="A133" s="282" t="s">
        <v>89</v>
      </c>
      <c r="B133" s="283"/>
      <c r="C133" s="284" t="s">
        <v>94</v>
      </c>
      <c r="D133" s="285"/>
      <c r="E133" s="52" t="s">
        <v>90</v>
      </c>
      <c r="F133" s="56"/>
      <c r="G133" s="50"/>
      <c r="H133" s="62"/>
    </row>
    <row r="134" spans="1:8" ht="32.25" thickBot="1" x14ac:dyDescent="0.25">
      <c r="A134" s="21" t="s">
        <v>31</v>
      </c>
      <c r="B134" s="22" t="s">
        <v>50</v>
      </c>
      <c r="C134" s="22" t="s">
        <v>0</v>
      </c>
      <c r="D134" s="22"/>
      <c r="E134" s="36"/>
      <c r="F134" s="22" t="s">
        <v>82</v>
      </c>
      <c r="G134" s="11"/>
      <c r="H134" s="44" t="e">
        <f>G134*#REF!</f>
        <v>#REF!</v>
      </c>
    </row>
    <row r="135" spans="1:8" ht="15.75" x14ac:dyDescent="0.2">
      <c r="A135" s="232" t="s">
        <v>29</v>
      </c>
      <c r="B135" s="239" t="s">
        <v>0</v>
      </c>
      <c r="C135" s="245">
        <v>6</v>
      </c>
      <c r="D135" s="245"/>
      <c r="E135" s="92"/>
      <c r="F135" s="92"/>
      <c r="G135" s="46"/>
      <c r="H135" s="44"/>
    </row>
    <row r="136" spans="1:8" ht="15.75" x14ac:dyDescent="0.2">
      <c r="A136" s="232" t="s">
        <v>16</v>
      </c>
      <c r="B136" s="239" t="s">
        <v>0</v>
      </c>
      <c r="C136" s="13">
        <v>2</v>
      </c>
      <c r="D136" s="13"/>
      <c r="E136" s="11"/>
      <c r="F136" s="11"/>
      <c r="G136" s="46"/>
      <c r="H136" s="44"/>
    </row>
    <row r="137" spans="1:8" ht="15.75" x14ac:dyDescent="0.2">
      <c r="A137" s="232" t="s">
        <v>14</v>
      </c>
      <c r="B137" s="239" t="s">
        <v>0</v>
      </c>
      <c r="C137" s="13">
        <v>8</v>
      </c>
      <c r="D137" s="13"/>
      <c r="E137" s="11"/>
      <c r="F137" s="11"/>
      <c r="G137" s="46"/>
      <c r="H137" s="44"/>
    </row>
    <row r="138" spans="1:8" ht="15.75" x14ac:dyDescent="0.2">
      <c r="A138" s="232" t="s">
        <v>127</v>
      </c>
      <c r="B138" s="239" t="s">
        <v>13</v>
      </c>
      <c r="C138" s="13">
        <v>150</v>
      </c>
      <c r="D138" s="13"/>
      <c r="E138" s="11"/>
      <c r="F138" s="11"/>
      <c r="G138" s="46"/>
      <c r="H138" s="44"/>
    </row>
    <row r="139" spans="1:8" ht="15.75" x14ac:dyDescent="0.2">
      <c r="A139" s="232" t="s">
        <v>128</v>
      </c>
      <c r="B139" s="239" t="s">
        <v>2</v>
      </c>
      <c r="C139" s="13">
        <v>120</v>
      </c>
      <c r="D139" s="13"/>
      <c r="E139" s="11"/>
      <c r="F139" s="11"/>
      <c r="G139" s="46"/>
      <c r="H139" s="44"/>
    </row>
    <row r="140" spans="1:8" ht="15.75" x14ac:dyDescent="0.2">
      <c r="A140" s="232" t="s">
        <v>22</v>
      </c>
      <c r="B140" s="239" t="s">
        <v>23</v>
      </c>
      <c r="C140" s="13">
        <v>25</v>
      </c>
      <c r="D140" s="13"/>
      <c r="E140" s="11"/>
      <c r="F140" s="11"/>
      <c r="G140" s="46"/>
      <c r="H140" s="44"/>
    </row>
    <row r="141" spans="1:8" ht="15.75" x14ac:dyDescent="0.2">
      <c r="A141" s="232" t="s">
        <v>243</v>
      </c>
      <c r="B141" s="239" t="s">
        <v>23</v>
      </c>
      <c r="C141" s="13">
        <v>5</v>
      </c>
      <c r="D141" s="13" t="s">
        <v>251</v>
      </c>
      <c r="E141" s="11"/>
      <c r="F141" s="11"/>
      <c r="G141" s="46"/>
      <c r="H141" s="44"/>
    </row>
    <row r="142" spans="1:8" ht="15.75" x14ac:dyDescent="0.2">
      <c r="A142" s="232" t="s">
        <v>250</v>
      </c>
      <c r="B142" s="239" t="s">
        <v>23</v>
      </c>
      <c r="C142" s="13">
        <v>5</v>
      </c>
      <c r="D142" s="13"/>
      <c r="E142" s="11"/>
      <c r="F142" s="11"/>
      <c r="G142" s="46"/>
      <c r="H142" s="44"/>
    </row>
    <row r="143" spans="1:8" ht="15.75" x14ac:dyDescent="0.2">
      <c r="A143" s="232" t="s">
        <v>126</v>
      </c>
      <c r="B143" s="239" t="s">
        <v>0</v>
      </c>
      <c r="C143" s="13">
        <v>4</v>
      </c>
      <c r="D143" s="13"/>
      <c r="E143" s="11"/>
      <c r="F143" s="11"/>
      <c r="G143" s="46"/>
      <c r="H143" s="44"/>
    </row>
    <row r="144" spans="1:8" ht="15.75" x14ac:dyDescent="0.2">
      <c r="A144" s="232" t="s">
        <v>129</v>
      </c>
      <c r="B144" s="239" t="s">
        <v>0</v>
      </c>
      <c r="C144" s="13">
        <v>2</v>
      </c>
      <c r="D144" s="13"/>
      <c r="E144" s="11"/>
      <c r="F144" s="11"/>
      <c r="G144" s="46"/>
      <c r="H144" s="44"/>
    </row>
    <row r="145" spans="1:8" ht="15.75" x14ac:dyDescent="0.2">
      <c r="A145" s="232" t="s">
        <v>190</v>
      </c>
      <c r="B145" s="239" t="s">
        <v>0</v>
      </c>
      <c r="C145" s="13">
        <v>14</v>
      </c>
      <c r="D145" s="13"/>
      <c r="E145" s="11"/>
      <c r="F145" s="11"/>
      <c r="G145" s="46"/>
      <c r="H145" s="44"/>
    </row>
    <row r="146" spans="1:8" ht="15.75" x14ac:dyDescent="0.2">
      <c r="A146" s="232" t="s">
        <v>191</v>
      </c>
      <c r="B146" s="239" t="s">
        <v>0</v>
      </c>
      <c r="C146" s="13">
        <v>3</v>
      </c>
      <c r="D146" s="13"/>
      <c r="E146" s="11"/>
      <c r="F146" s="11"/>
      <c r="G146" s="46"/>
      <c r="H146" s="44"/>
    </row>
    <row r="147" spans="1:8" ht="15.75" x14ac:dyDescent="0.2">
      <c r="A147" s="232" t="s">
        <v>125</v>
      </c>
      <c r="B147" s="239" t="s">
        <v>0</v>
      </c>
      <c r="C147" s="13">
        <v>1</v>
      </c>
      <c r="D147" s="13"/>
      <c r="E147" s="11"/>
      <c r="F147" s="11"/>
      <c r="G147" s="46"/>
      <c r="H147" s="44"/>
    </row>
    <row r="148" spans="1:8" ht="15.75" x14ac:dyDescent="0.2">
      <c r="A148" s="232" t="s">
        <v>245</v>
      </c>
      <c r="B148" s="239" t="s">
        <v>0</v>
      </c>
      <c r="C148" s="13">
        <v>1</v>
      </c>
      <c r="D148" s="13"/>
      <c r="E148" s="11"/>
      <c r="F148" s="11"/>
      <c r="G148" s="46"/>
      <c r="H148" s="44"/>
    </row>
    <row r="149" spans="1:8" ht="15.75" x14ac:dyDescent="0.2">
      <c r="A149" s="232" t="s">
        <v>18</v>
      </c>
      <c r="B149" s="239" t="s">
        <v>71</v>
      </c>
      <c r="C149" s="13">
        <v>9</v>
      </c>
      <c r="D149" s="13"/>
      <c r="E149" s="46"/>
      <c r="F149" s="46"/>
      <c r="G149" s="46"/>
      <c r="H149" s="44">
        <f t="shared" ref="H149:H150" si="2">G149*C150</f>
        <v>0</v>
      </c>
    </row>
    <row r="150" spans="1:8" ht="15.75" x14ac:dyDescent="0.2">
      <c r="A150" s="232" t="s">
        <v>17</v>
      </c>
      <c r="B150" s="239" t="s">
        <v>304</v>
      </c>
      <c r="C150" s="13">
        <v>1</v>
      </c>
      <c r="D150" s="13"/>
      <c r="E150" s="46"/>
      <c r="F150" s="46"/>
      <c r="G150" s="1"/>
      <c r="H150" s="44">
        <f t="shared" si="2"/>
        <v>0</v>
      </c>
    </row>
    <row r="151" spans="1:8" ht="16.5" thickBot="1" x14ac:dyDescent="0.25">
      <c r="A151" s="232" t="s">
        <v>11</v>
      </c>
      <c r="B151" s="239" t="s">
        <v>1</v>
      </c>
      <c r="C151" s="14">
        <v>5</v>
      </c>
      <c r="D151" s="13"/>
      <c r="E151" s="1"/>
      <c r="F151" s="1"/>
      <c r="G151" s="1"/>
      <c r="H151" s="44" t="e">
        <f>G151*#REF!</f>
        <v>#REF!</v>
      </c>
    </row>
    <row r="152" spans="1:8" ht="16.5" thickBot="1" x14ac:dyDescent="0.25">
      <c r="A152" s="282" t="s">
        <v>89</v>
      </c>
      <c r="B152" s="283"/>
      <c r="C152" s="284" t="s">
        <v>94</v>
      </c>
      <c r="D152" s="285"/>
      <c r="E152" s="52" t="s">
        <v>90</v>
      </c>
      <c r="F152" s="56"/>
      <c r="G152" s="50"/>
      <c r="H152" s="62"/>
    </row>
    <row r="153" spans="1:8" ht="32.25" thickBot="1" x14ac:dyDescent="0.25">
      <c r="A153" s="21" t="s">
        <v>58</v>
      </c>
      <c r="B153" s="22" t="s">
        <v>50</v>
      </c>
      <c r="C153" s="22" t="s">
        <v>0</v>
      </c>
      <c r="D153" s="22"/>
      <c r="E153" s="36"/>
      <c r="F153" s="22" t="s">
        <v>82</v>
      </c>
      <c r="G153" s="11"/>
      <c r="H153" s="44" t="e">
        <f>G153*#REF!</f>
        <v>#REF!</v>
      </c>
    </row>
    <row r="154" spans="1:8" ht="15.75" x14ac:dyDescent="0.2">
      <c r="A154" s="228" t="s">
        <v>4</v>
      </c>
      <c r="B154" s="14" t="s">
        <v>3</v>
      </c>
      <c r="C154" s="24">
        <v>6</v>
      </c>
      <c r="D154" s="9"/>
      <c r="E154" s="11"/>
      <c r="F154" s="11"/>
      <c r="G154" s="46"/>
      <c r="H154" s="44"/>
    </row>
    <row r="155" spans="1:8" ht="15.75" x14ac:dyDescent="0.2">
      <c r="A155" s="228" t="s">
        <v>5</v>
      </c>
      <c r="B155" s="14" t="s">
        <v>1</v>
      </c>
      <c r="C155" s="24">
        <v>15</v>
      </c>
      <c r="D155" s="9"/>
      <c r="E155" s="11"/>
      <c r="F155" s="11"/>
      <c r="G155" s="46"/>
      <c r="H155" s="44"/>
    </row>
    <row r="156" spans="1:8" ht="15.75" x14ac:dyDescent="0.2">
      <c r="A156" s="228" t="s">
        <v>6</v>
      </c>
      <c r="B156" s="14" t="s">
        <v>1</v>
      </c>
      <c r="C156" s="24">
        <v>12</v>
      </c>
      <c r="D156" s="9"/>
      <c r="E156" s="11"/>
      <c r="F156" s="11"/>
      <c r="G156" s="46"/>
      <c r="H156" s="44"/>
    </row>
    <row r="157" spans="1:8" ht="15.75" x14ac:dyDescent="0.2">
      <c r="A157" s="228" t="s">
        <v>7</v>
      </c>
      <c r="B157" s="14" t="s">
        <v>1</v>
      </c>
      <c r="C157" s="24">
        <v>6</v>
      </c>
      <c r="D157" s="9"/>
      <c r="E157" s="11"/>
      <c r="F157" s="11"/>
      <c r="G157" s="46"/>
      <c r="H157" s="44"/>
    </row>
    <row r="158" spans="1:8" ht="15.75" x14ac:dyDescent="0.2">
      <c r="A158" s="228" t="s">
        <v>8</v>
      </c>
      <c r="B158" s="14" t="s">
        <v>1</v>
      </c>
      <c r="C158" s="24">
        <v>15</v>
      </c>
      <c r="D158" s="9"/>
      <c r="E158" s="11"/>
      <c r="F158" s="11"/>
      <c r="G158" s="46"/>
      <c r="H158" s="44"/>
    </row>
    <row r="159" spans="1:8" ht="15.75" x14ac:dyDescent="0.2">
      <c r="A159" s="228" t="s">
        <v>9</v>
      </c>
      <c r="B159" s="14" t="s">
        <v>1</v>
      </c>
      <c r="C159" s="24">
        <v>6</v>
      </c>
      <c r="D159" s="9"/>
      <c r="E159" s="11"/>
      <c r="F159" s="11"/>
      <c r="G159" s="46"/>
      <c r="H159" s="44"/>
    </row>
    <row r="160" spans="1:8" ht="16.5" thickBot="1" x14ac:dyDescent="0.25">
      <c r="A160" s="228" t="s">
        <v>10</v>
      </c>
      <c r="B160" s="14" t="s">
        <v>1</v>
      </c>
      <c r="C160" s="24">
        <v>3</v>
      </c>
      <c r="D160" s="9"/>
      <c r="E160" s="11"/>
      <c r="F160" s="11"/>
      <c r="G160" s="46"/>
      <c r="H160" s="44"/>
    </row>
    <row r="161" spans="1:8" ht="16.149999999999999" customHeight="1" thickBot="1" x14ac:dyDescent="0.25">
      <c r="A161" s="282" t="s">
        <v>89</v>
      </c>
      <c r="B161" s="283"/>
      <c r="C161" s="284" t="s">
        <v>94</v>
      </c>
      <c r="D161" s="285"/>
      <c r="E161" s="52" t="s">
        <v>90</v>
      </c>
      <c r="F161" s="56"/>
      <c r="G161" s="50"/>
      <c r="H161" s="62"/>
    </row>
    <row r="162" spans="1:8" ht="32.25" thickBot="1" x14ac:dyDescent="0.25">
      <c r="A162" s="21" t="s">
        <v>37</v>
      </c>
      <c r="B162" s="22" t="s">
        <v>50</v>
      </c>
      <c r="C162" s="22" t="s">
        <v>0</v>
      </c>
      <c r="D162" s="22"/>
      <c r="E162" s="36"/>
      <c r="F162" s="22" t="s">
        <v>82</v>
      </c>
      <c r="G162" s="11"/>
      <c r="H162" s="44" t="e">
        <f>G162*#REF!</f>
        <v>#REF!</v>
      </c>
    </row>
    <row r="163" spans="1:8" ht="15.75" x14ac:dyDescent="0.2">
      <c r="A163" s="232" t="s">
        <v>314</v>
      </c>
      <c r="B163" s="239" t="s">
        <v>0</v>
      </c>
      <c r="C163" s="15">
        <v>90</v>
      </c>
      <c r="D163" s="15"/>
      <c r="E163" s="7"/>
      <c r="F163" s="47"/>
      <c r="G163" s="47"/>
      <c r="H163" s="44">
        <f>G163*C165</f>
        <v>0</v>
      </c>
    </row>
    <row r="164" spans="1:8" ht="15.75" x14ac:dyDescent="0.2">
      <c r="A164" s="232" t="s">
        <v>305</v>
      </c>
      <c r="B164" s="239" t="s">
        <v>0</v>
      </c>
      <c r="C164" s="54">
        <v>6</v>
      </c>
      <c r="D164" s="54"/>
      <c r="E164" s="7"/>
      <c r="F164" s="55"/>
      <c r="G164" s="72"/>
      <c r="H164" s="44"/>
    </row>
    <row r="165" spans="1:8" ht="16.5" thickBot="1" x14ac:dyDescent="0.25">
      <c r="A165" s="232" t="s">
        <v>15</v>
      </c>
      <c r="B165" s="239" t="s">
        <v>0</v>
      </c>
      <c r="C165" s="54">
        <v>2</v>
      </c>
      <c r="D165" s="54"/>
      <c r="E165" s="7"/>
      <c r="F165" s="55"/>
      <c r="G165" s="49"/>
      <c r="H165" s="44" t="e">
        <f t="shared" ref="H165" si="3">G165*C166</f>
        <v>#VALUE!</v>
      </c>
    </row>
    <row r="166" spans="1:8" ht="16.5" thickBot="1" x14ac:dyDescent="0.25">
      <c r="A166" s="282" t="s">
        <v>89</v>
      </c>
      <c r="B166" s="283"/>
      <c r="C166" s="284" t="s">
        <v>94</v>
      </c>
      <c r="D166" s="285"/>
      <c r="E166" s="52" t="s">
        <v>90</v>
      </c>
      <c r="F166" s="56"/>
      <c r="G166" s="50"/>
      <c r="H166" s="62"/>
    </row>
    <row r="167" spans="1:8" ht="16.5" thickBot="1" x14ac:dyDescent="0.25">
      <c r="A167" s="286"/>
      <c r="B167" s="287"/>
      <c r="C167" s="287"/>
      <c r="D167" s="287"/>
      <c r="E167" s="287"/>
      <c r="F167" s="287"/>
      <c r="G167" s="50"/>
      <c r="H167" s="62"/>
    </row>
    <row r="168" spans="1:8" ht="32.25" thickBot="1" x14ac:dyDescent="0.25">
      <c r="A168" s="68"/>
      <c r="B168" s="69" t="s">
        <v>96</v>
      </c>
      <c r="C168" s="288" t="s">
        <v>97</v>
      </c>
      <c r="D168" s="289"/>
      <c r="E168" s="70" t="s">
        <v>98</v>
      </c>
      <c r="F168" s="71"/>
      <c r="G168" s="66" t="s">
        <v>68</v>
      </c>
      <c r="H168" s="42" t="e">
        <f>SUM(H35:H130)</f>
        <v>#VALUE!</v>
      </c>
    </row>
    <row r="169" spans="1:8" x14ac:dyDescent="0.2">
      <c r="A169" s="67"/>
      <c r="B169" s="67"/>
      <c r="C169" s="67"/>
      <c r="D169" s="67"/>
      <c r="E169" s="67"/>
      <c r="F169" s="67"/>
    </row>
  </sheetData>
  <mergeCells count="35">
    <mergeCell ref="A166:B166"/>
    <mergeCell ref="C166:D166"/>
    <mergeCell ref="A167:F167"/>
    <mergeCell ref="C168:D168"/>
    <mergeCell ref="A120:B120"/>
    <mergeCell ref="C120:D120"/>
    <mergeCell ref="A133:B133"/>
    <mergeCell ref="C133:D133"/>
    <mergeCell ref="A161:B161"/>
    <mergeCell ref="C161:D161"/>
    <mergeCell ref="A34:B34"/>
    <mergeCell ref="C34:D34"/>
    <mergeCell ref="A73:B73"/>
    <mergeCell ref="C73:D73"/>
    <mergeCell ref="A79:B79"/>
    <mergeCell ref="C79:D79"/>
    <mergeCell ref="A88:B88"/>
    <mergeCell ref="C88:D88"/>
    <mergeCell ref="A96:B96"/>
    <mergeCell ref="A152:B152"/>
    <mergeCell ref="C152:D152"/>
    <mergeCell ref="C96:D96"/>
    <mergeCell ref="A107:B107"/>
    <mergeCell ref="C107:D107"/>
    <mergeCell ref="A115:B115"/>
    <mergeCell ref="C115:D115"/>
    <mergeCell ref="A9:F9"/>
    <mergeCell ref="F1:F8"/>
    <mergeCell ref="A1:E1"/>
    <mergeCell ref="B2:E2"/>
    <mergeCell ref="B3:E3"/>
    <mergeCell ref="B4:E4"/>
    <mergeCell ref="D6:E6"/>
    <mergeCell ref="A7:A8"/>
    <mergeCell ref="B5:E5"/>
  </mergeCells>
  <phoneticPr fontId="11" type="noConversion"/>
  <conditionalFormatting sqref="E37:G37 G38">
    <cfRule type="cellIs" priority="1" operator="greaterThan">
      <formula>0</formula>
    </cfRule>
    <cfRule type="cellIs" dxfId="0" priority="2" operator="greaterThan">
      <formula>0</formula>
    </cfRule>
  </conditionalFormatting>
  <pageMargins left="0.70866141732283472" right="0.70866141732283472" top="0.55118110236220474" bottom="1.3385826771653544" header="0.31496062992125984" footer="0.31496062992125984"/>
  <pageSetup paperSize="9" scale="45" fitToHeight="3" orientation="portrait" r:id="rId1"/>
  <headerFooter>
    <oddFooter>&amp;R&amp;G</oddFooter>
  </headerFooter>
  <rowBreaks count="2" manualBreakCount="2">
    <brk id="73" max="5" man="1"/>
    <brk id="133" max="5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C30-3A3D-43D1-A67D-826ED26E1641}">
  <sheetPr>
    <tabColor rgb="FFFF0000"/>
  </sheetPr>
  <dimension ref="A1:S53"/>
  <sheetViews>
    <sheetView zoomScale="115" zoomScaleNormal="115" workbookViewId="0">
      <selection activeCell="T24" sqref="T24"/>
    </sheetView>
  </sheetViews>
  <sheetFormatPr defaultRowHeight="12.75" x14ac:dyDescent="0.2"/>
  <cols>
    <col min="1" max="1" width="12.28515625" customWidth="1"/>
    <col min="2" max="2" width="9.85546875" customWidth="1"/>
    <col min="3" max="3" width="13.28515625" customWidth="1"/>
    <col min="5" max="5" width="3.42578125" customWidth="1"/>
    <col min="6" max="6" width="10.42578125" customWidth="1"/>
    <col min="7" max="7" width="5.5703125" customWidth="1"/>
    <col min="8" max="8" width="18.85546875" bestFit="1" customWidth="1"/>
    <col min="9" max="9" width="9.42578125" customWidth="1"/>
    <col min="10" max="10" width="13.28515625" customWidth="1"/>
    <col min="11" max="11" width="10.42578125" customWidth="1"/>
    <col min="12" max="12" width="10.5703125" customWidth="1"/>
    <col min="14" max="14" width="13" customWidth="1"/>
    <col min="15" max="15" width="9.5703125" customWidth="1"/>
    <col min="16" max="16" width="12.5703125" customWidth="1"/>
    <col min="17" max="17" width="10.42578125" customWidth="1"/>
    <col min="18" max="18" width="12.5703125" customWidth="1"/>
  </cols>
  <sheetData>
    <row r="1" spans="1:19" x14ac:dyDescent="0.2">
      <c r="A1" s="337" t="s">
        <v>193</v>
      </c>
      <c r="B1" s="338"/>
      <c r="C1" s="338"/>
      <c r="D1" s="339"/>
      <c r="E1" s="101"/>
      <c r="F1" s="350" t="s">
        <v>221</v>
      </c>
      <c r="G1" s="104"/>
      <c r="H1" s="337" t="s">
        <v>194</v>
      </c>
      <c r="I1" s="338"/>
      <c r="J1" s="338"/>
      <c r="K1" s="339"/>
      <c r="L1" s="104"/>
      <c r="M1" s="125" t="s">
        <v>212</v>
      </c>
      <c r="N1" s="126" t="s">
        <v>214</v>
      </c>
      <c r="O1" s="99" t="s">
        <v>225</v>
      </c>
      <c r="Q1" s="125" t="s">
        <v>212</v>
      </c>
      <c r="R1" s="126" t="s">
        <v>214</v>
      </c>
      <c r="S1" s="99" t="s">
        <v>225</v>
      </c>
    </row>
    <row r="2" spans="1:19" x14ac:dyDescent="0.2">
      <c r="A2" s="133"/>
      <c r="B2" s="99" t="s">
        <v>225</v>
      </c>
      <c r="C2" s="99" t="s">
        <v>195</v>
      </c>
      <c r="D2" s="134"/>
      <c r="E2" s="104"/>
      <c r="F2" s="347"/>
      <c r="G2" s="104"/>
      <c r="H2" s="133"/>
      <c r="I2" s="99" t="s">
        <v>225</v>
      </c>
      <c r="J2" s="99" t="s">
        <v>195</v>
      </c>
      <c r="K2" s="134"/>
      <c r="L2" s="104"/>
      <c r="M2" s="105" t="s">
        <v>213</v>
      </c>
      <c r="N2" s="106" t="s">
        <v>216</v>
      </c>
      <c r="O2" s="143">
        <v>19.920000000000002</v>
      </c>
      <c r="Q2" s="116" t="s">
        <v>198</v>
      </c>
      <c r="R2" s="106" t="s">
        <v>216</v>
      </c>
      <c r="S2" s="143"/>
    </row>
    <row r="3" spans="1:19" x14ac:dyDescent="0.2">
      <c r="A3" s="135" t="s">
        <v>196</v>
      </c>
      <c r="B3" s="139"/>
      <c r="C3" s="108">
        <f>$F$3</f>
        <v>2.5</v>
      </c>
      <c r="D3" s="147">
        <f>B3*C3</f>
        <v>0</v>
      </c>
      <c r="E3" s="104"/>
      <c r="F3" s="107">
        <v>2.5</v>
      </c>
      <c r="G3" s="104"/>
      <c r="H3" s="136" t="s">
        <v>208</v>
      </c>
      <c r="I3" s="108">
        <f>SUM(O2:O9)</f>
        <v>73.03</v>
      </c>
      <c r="J3" s="108">
        <f>$F$3</f>
        <v>2.5</v>
      </c>
      <c r="K3" s="148">
        <f>PRODUCT(I3,J3)</f>
        <v>182.57499999999999</v>
      </c>
      <c r="L3" s="153"/>
      <c r="M3" s="105" t="s">
        <v>213</v>
      </c>
      <c r="N3" s="106" t="s">
        <v>216</v>
      </c>
      <c r="O3" s="143">
        <v>13.68</v>
      </c>
      <c r="P3" s="151"/>
      <c r="Q3" s="116" t="s">
        <v>198</v>
      </c>
      <c r="R3" s="106" t="s">
        <v>216</v>
      </c>
      <c r="S3" s="143"/>
    </row>
    <row r="4" spans="1:19" x14ac:dyDescent="0.2">
      <c r="A4" s="135" t="s">
        <v>197</v>
      </c>
      <c r="B4" s="139"/>
      <c r="C4" s="108">
        <v>0.3</v>
      </c>
      <c r="D4" s="147">
        <f t="shared" ref="D4:D5" si="0">B4*C4</f>
        <v>0</v>
      </c>
      <c r="E4" s="104"/>
      <c r="F4" s="104"/>
      <c r="G4" s="104"/>
      <c r="H4" s="137" t="s">
        <v>209</v>
      </c>
      <c r="I4" s="110">
        <f>SUM(O11:O13)</f>
        <v>8.56</v>
      </c>
      <c r="J4" s="108">
        <f>$F$3</f>
        <v>2.5</v>
      </c>
      <c r="K4" s="148">
        <f>PRODUCT(I4,J4)</f>
        <v>21.400000000000002</v>
      </c>
      <c r="L4" s="153"/>
      <c r="M4" s="105" t="s">
        <v>213</v>
      </c>
      <c r="N4" s="106" t="s">
        <v>216</v>
      </c>
      <c r="O4" s="143">
        <v>14.9</v>
      </c>
      <c r="P4" s="151"/>
      <c r="Q4" s="116" t="s">
        <v>198</v>
      </c>
      <c r="R4" s="106" t="s">
        <v>216</v>
      </c>
      <c r="S4" s="143"/>
    </row>
    <row r="5" spans="1:19" x14ac:dyDescent="0.2">
      <c r="A5" s="135" t="s">
        <v>198</v>
      </c>
      <c r="B5" s="139"/>
      <c r="C5" s="108">
        <f>F7</f>
        <v>0</v>
      </c>
      <c r="D5" s="147">
        <f t="shared" si="0"/>
        <v>0</v>
      </c>
      <c r="E5" s="104"/>
      <c r="F5" s="346" t="s">
        <v>217</v>
      </c>
      <c r="G5" s="104"/>
      <c r="H5" s="136" t="s">
        <v>210</v>
      </c>
      <c r="I5" s="111">
        <f>SUM(S2:S10)</f>
        <v>0</v>
      </c>
      <c r="J5" s="108">
        <f>$F$7</f>
        <v>0</v>
      </c>
      <c r="K5" s="148">
        <f>PRODUCT(I5,J5)</f>
        <v>0</v>
      </c>
      <c r="L5" s="145"/>
      <c r="M5" s="105" t="s">
        <v>213</v>
      </c>
      <c r="N5" s="106" t="s">
        <v>216</v>
      </c>
      <c r="O5" s="143">
        <v>11.11</v>
      </c>
      <c r="P5" s="151"/>
      <c r="Q5" s="116" t="s">
        <v>198</v>
      </c>
      <c r="R5" s="106" t="s">
        <v>216</v>
      </c>
      <c r="S5" s="143"/>
    </row>
    <row r="6" spans="1:19" ht="13.5" thickBot="1" x14ac:dyDescent="0.25">
      <c r="A6" s="129"/>
      <c r="B6" s="130"/>
      <c r="C6" s="117" t="s">
        <v>199</v>
      </c>
      <c r="D6" s="140">
        <f>D3+D4+D5</f>
        <v>0</v>
      </c>
      <c r="E6" s="104"/>
      <c r="F6" s="347"/>
      <c r="G6" s="104"/>
      <c r="H6" s="137" t="s">
        <v>211</v>
      </c>
      <c r="I6" s="111">
        <f>SUM(S11:S13)</f>
        <v>0</v>
      </c>
      <c r="J6" s="108">
        <f>$F$7</f>
        <v>0</v>
      </c>
      <c r="K6" s="148">
        <f>PRODUCT(I6,J6)</f>
        <v>0</v>
      </c>
      <c r="L6" s="153"/>
      <c r="M6" s="105" t="s">
        <v>213</v>
      </c>
      <c r="N6" s="106" t="s">
        <v>216</v>
      </c>
      <c r="O6" s="143">
        <v>13.42</v>
      </c>
      <c r="P6" s="151"/>
      <c r="Q6" s="116" t="s">
        <v>198</v>
      </c>
      <c r="R6" s="106" t="s">
        <v>216</v>
      </c>
      <c r="S6" s="143"/>
    </row>
    <row r="7" spans="1:19" ht="13.5" thickBot="1" x14ac:dyDescent="0.25">
      <c r="A7" s="104"/>
      <c r="B7" s="104"/>
      <c r="C7" s="112"/>
      <c r="D7" s="104"/>
      <c r="E7" s="104"/>
      <c r="F7" s="107"/>
      <c r="G7" s="104"/>
      <c r="H7" s="138"/>
      <c r="I7" s="327" t="s">
        <v>199</v>
      </c>
      <c r="J7" s="328"/>
      <c r="K7" s="142">
        <f>K3+K4+K5+K6</f>
        <v>203.97499999999999</v>
      </c>
      <c r="L7" s="153"/>
      <c r="M7" s="105" t="s">
        <v>213</v>
      </c>
      <c r="N7" s="106" t="s">
        <v>216</v>
      </c>
      <c r="O7" s="143"/>
      <c r="P7" s="151"/>
      <c r="Q7" s="116" t="s">
        <v>198</v>
      </c>
      <c r="R7" s="106" t="s">
        <v>216</v>
      </c>
      <c r="S7" s="143"/>
    </row>
    <row r="8" spans="1:19" ht="13.5" thickBot="1" x14ac:dyDescent="0.25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46"/>
      <c r="M8" s="105" t="s">
        <v>213</v>
      </c>
      <c r="N8" s="106" t="s">
        <v>216</v>
      </c>
      <c r="O8" s="143"/>
      <c r="P8" s="151"/>
      <c r="Q8" s="116" t="s">
        <v>198</v>
      </c>
      <c r="R8" s="106" t="s">
        <v>216</v>
      </c>
      <c r="S8" s="143"/>
    </row>
    <row r="9" spans="1:19" x14ac:dyDescent="0.2">
      <c r="A9" s="342" t="s">
        <v>226</v>
      </c>
      <c r="B9" s="343"/>
      <c r="C9" s="343"/>
      <c r="D9" s="344"/>
      <c r="E9" s="104"/>
      <c r="H9" s="329" t="s">
        <v>227</v>
      </c>
      <c r="I9" s="330"/>
      <c r="J9" s="330"/>
      <c r="K9" s="331"/>
      <c r="L9" s="146"/>
      <c r="M9" s="105" t="s">
        <v>213</v>
      </c>
      <c r="N9" s="106" t="s">
        <v>216</v>
      </c>
      <c r="O9" s="143"/>
      <c r="P9" s="151"/>
      <c r="Q9" s="116" t="s">
        <v>198</v>
      </c>
      <c r="R9" s="106" t="s">
        <v>216</v>
      </c>
      <c r="S9" s="143"/>
    </row>
    <row r="10" spans="1:19" x14ac:dyDescent="0.2">
      <c r="A10" s="100" t="s">
        <v>0</v>
      </c>
      <c r="B10" s="103" t="s">
        <v>225</v>
      </c>
      <c r="C10" s="103" t="s">
        <v>204</v>
      </c>
      <c r="D10" s="123"/>
      <c r="E10" s="104"/>
      <c r="H10" s="100" t="s">
        <v>0</v>
      </c>
      <c r="I10" s="103" t="s">
        <v>225</v>
      </c>
      <c r="J10" s="103" t="s">
        <v>204</v>
      </c>
      <c r="K10" s="123"/>
      <c r="L10" s="146"/>
      <c r="M10" s="105" t="s">
        <v>213</v>
      </c>
      <c r="N10" s="106" t="s">
        <v>216</v>
      </c>
      <c r="O10" s="143"/>
      <c r="P10" s="151"/>
      <c r="Q10" s="116" t="s">
        <v>198</v>
      </c>
      <c r="R10" s="106" t="s">
        <v>216</v>
      </c>
      <c r="S10" s="143"/>
    </row>
    <row r="11" spans="1:19" x14ac:dyDescent="0.2">
      <c r="A11" s="135"/>
      <c r="B11" s="139"/>
      <c r="C11" s="139"/>
      <c r="D11" s="147">
        <f>A11*B11*C11</f>
        <v>0</v>
      </c>
      <c r="E11" s="104"/>
      <c r="H11" s="135"/>
      <c r="I11" s="139"/>
      <c r="J11" s="139"/>
      <c r="K11" s="147">
        <f>I11*J11</f>
        <v>0</v>
      </c>
      <c r="L11" s="146"/>
      <c r="M11" s="105" t="s">
        <v>213</v>
      </c>
      <c r="N11" s="109" t="s">
        <v>215</v>
      </c>
      <c r="O11" s="143">
        <v>8.56</v>
      </c>
      <c r="P11" s="151"/>
      <c r="Q11" s="116" t="s">
        <v>198</v>
      </c>
      <c r="R11" s="109" t="s">
        <v>215</v>
      </c>
      <c r="S11" s="143"/>
    </row>
    <row r="12" spans="1:19" x14ac:dyDescent="0.2">
      <c r="A12" s="135"/>
      <c r="B12" s="107"/>
      <c r="C12" s="107"/>
      <c r="D12" s="147">
        <f>A12*B12*C12</f>
        <v>0</v>
      </c>
      <c r="E12" s="104"/>
      <c r="H12" s="135"/>
      <c r="I12" s="107"/>
      <c r="J12" s="107"/>
      <c r="K12" s="147">
        <f>I12*J12</f>
        <v>0</v>
      </c>
      <c r="L12" s="146"/>
      <c r="M12" s="105" t="s">
        <v>213</v>
      </c>
      <c r="N12" s="109" t="s">
        <v>215</v>
      </c>
      <c r="O12" s="143"/>
      <c r="P12" s="151"/>
      <c r="Q12" s="116" t="s">
        <v>198</v>
      </c>
      <c r="R12" s="109" t="s">
        <v>215</v>
      </c>
      <c r="S12" s="143"/>
    </row>
    <row r="13" spans="1:19" ht="13.5" thickBot="1" x14ac:dyDescent="0.25">
      <c r="A13" s="326" t="s">
        <v>231</v>
      </c>
      <c r="B13" s="327"/>
      <c r="C13" s="328"/>
      <c r="D13" s="140">
        <f>SUM(D11,D12)</f>
        <v>0</v>
      </c>
      <c r="E13" s="104"/>
      <c r="H13" s="332" t="s">
        <v>231</v>
      </c>
      <c r="I13" s="333"/>
      <c r="J13" s="333"/>
      <c r="K13" s="140">
        <f>SUM(K11,K12)</f>
        <v>0</v>
      </c>
      <c r="L13" s="146"/>
      <c r="M13" s="114" t="s">
        <v>213</v>
      </c>
      <c r="N13" s="115" t="s">
        <v>215</v>
      </c>
      <c r="O13" s="144"/>
      <c r="P13" s="151"/>
      <c r="Q13" s="116" t="s">
        <v>198</v>
      </c>
      <c r="R13" s="115" t="s">
        <v>215</v>
      </c>
      <c r="S13" s="144"/>
    </row>
    <row r="14" spans="1:19" ht="13.5" thickBot="1" x14ac:dyDescent="0.25">
      <c r="A14" s="104"/>
      <c r="B14" s="104"/>
      <c r="C14" s="104"/>
      <c r="D14" s="104"/>
      <c r="E14" s="104"/>
      <c r="I14" s="104"/>
      <c r="J14" s="104"/>
      <c r="K14" s="104"/>
      <c r="L14" s="146"/>
      <c r="P14" s="151"/>
    </row>
    <row r="15" spans="1:19" x14ac:dyDescent="0.2">
      <c r="A15" s="118" t="s">
        <v>205</v>
      </c>
      <c r="B15" s="159"/>
      <c r="C15" s="297" t="s">
        <v>233</v>
      </c>
      <c r="D15" s="300">
        <f>B15+B16+B17</f>
        <v>0</v>
      </c>
      <c r="E15" s="104"/>
      <c r="F15" s="104"/>
      <c r="H15" s="118" t="s">
        <v>205</v>
      </c>
      <c r="I15" s="159"/>
      <c r="J15" s="334" t="s">
        <v>233</v>
      </c>
      <c r="K15" s="300">
        <f>I15+I16+I17</f>
        <v>0</v>
      </c>
      <c r="L15" s="146"/>
      <c r="M15" s="317" t="s">
        <v>193</v>
      </c>
      <c r="N15" s="348"/>
      <c r="O15" s="349"/>
      <c r="P15" s="151"/>
      <c r="Q15" s="317" t="s">
        <v>194</v>
      </c>
      <c r="R15" s="348"/>
      <c r="S15" s="349"/>
    </row>
    <row r="16" spans="1:19" x14ac:dyDescent="0.2">
      <c r="A16" s="119" t="s">
        <v>206</v>
      </c>
      <c r="B16" s="107"/>
      <c r="C16" s="298"/>
      <c r="D16" s="301"/>
      <c r="E16" s="104"/>
      <c r="F16" s="104"/>
      <c r="H16" s="119" t="s">
        <v>206</v>
      </c>
      <c r="I16" s="107"/>
      <c r="J16" s="335"/>
      <c r="K16" s="301"/>
      <c r="L16" s="146"/>
      <c r="M16" s="121"/>
      <c r="N16" s="113" t="s">
        <v>218</v>
      </c>
      <c r="O16" s="123" t="s">
        <v>117</v>
      </c>
      <c r="P16" s="151"/>
      <c r="Q16" s="121"/>
      <c r="R16" s="113" t="s">
        <v>218</v>
      </c>
      <c r="S16" s="123" t="s">
        <v>117</v>
      </c>
    </row>
    <row r="17" spans="1:19" ht="13.5" thickBot="1" x14ac:dyDescent="0.25">
      <c r="A17" s="120" t="s">
        <v>207</v>
      </c>
      <c r="B17" s="149"/>
      <c r="C17" s="299"/>
      <c r="D17" s="302"/>
      <c r="E17" s="104"/>
      <c r="F17" s="104"/>
      <c r="H17" s="120" t="s">
        <v>207</v>
      </c>
      <c r="I17" s="149"/>
      <c r="J17" s="336"/>
      <c r="K17" s="302"/>
      <c r="L17" s="146"/>
      <c r="M17" s="150" t="s">
        <v>67</v>
      </c>
      <c r="N17" s="160">
        <f>D6+D13+D15</f>
        <v>0</v>
      </c>
      <c r="O17" s="161">
        <f>N17-D34</f>
        <v>0</v>
      </c>
      <c r="P17" s="151"/>
      <c r="Q17" s="127" t="s">
        <v>216</v>
      </c>
      <c r="R17" s="160">
        <f>K3+K5+K13+K15</f>
        <v>182.57499999999999</v>
      </c>
      <c r="S17" s="161">
        <f>R17-K29</f>
        <v>153.166</v>
      </c>
    </row>
    <row r="18" spans="1:19" ht="13.5" thickBot="1" x14ac:dyDescent="0.25">
      <c r="A18" s="104"/>
      <c r="B18" s="104"/>
      <c r="C18" s="104"/>
      <c r="D18" s="104"/>
      <c r="E18" s="104"/>
      <c r="F18" s="104"/>
      <c r="H18" s="104"/>
      <c r="I18" s="104"/>
      <c r="J18" s="104"/>
      <c r="K18" s="104"/>
      <c r="L18" s="146"/>
      <c r="M18" s="154"/>
      <c r="N18" s="139"/>
      <c r="O18" s="155"/>
      <c r="P18" s="151"/>
      <c r="Q18" s="128" t="s">
        <v>215</v>
      </c>
      <c r="R18" s="160">
        <f>K4+K6</f>
        <v>21.400000000000002</v>
      </c>
      <c r="S18" s="161">
        <f>R18-K34</f>
        <v>19.234000000000002</v>
      </c>
    </row>
    <row r="19" spans="1:19" ht="13.5" thickBot="1" x14ac:dyDescent="0.25">
      <c r="A19" s="342" t="s">
        <v>200</v>
      </c>
      <c r="B19" s="343"/>
      <c r="C19" s="343"/>
      <c r="D19" s="344"/>
      <c r="E19" s="102"/>
      <c r="F19" s="104"/>
      <c r="G19" s="351" t="s">
        <v>229</v>
      </c>
      <c r="H19" s="352"/>
      <c r="I19" s="352"/>
      <c r="J19" s="352"/>
      <c r="K19" s="353"/>
      <c r="L19" s="104"/>
      <c r="M19" s="156"/>
      <c r="N19" s="157"/>
      <c r="O19" s="158"/>
      <c r="P19" s="151"/>
      <c r="Q19" s="150" t="s">
        <v>67</v>
      </c>
      <c r="R19" s="162">
        <f>K7+K13+K15</f>
        <v>203.97499999999999</v>
      </c>
      <c r="S19" s="163">
        <f>R19-K35</f>
        <v>172.39999999999998</v>
      </c>
    </row>
    <row r="20" spans="1:19" ht="13.5" thickBot="1" x14ac:dyDescent="0.25">
      <c r="A20" s="132" t="s">
        <v>0</v>
      </c>
      <c r="B20" s="124" t="s">
        <v>201</v>
      </c>
      <c r="C20" s="124" t="s">
        <v>114</v>
      </c>
      <c r="D20" s="123"/>
      <c r="E20" s="104"/>
      <c r="F20" s="104"/>
      <c r="G20" s="132" t="s">
        <v>202</v>
      </c>
      <c r="H20" s="124" t="s">
        <v>0</v>
      </c>
      <c r="I20" s="124" t="s">
        <v>201</v>
      </c>
      <c r="J20" s="124" t="s">
        <v>114</v>
      </c>
      <c r="K20" s="123"/>
      <c r="L20" s="104"/>
    </row>
    <row r="21" spans="1:19" x14ac:dyDescent="0.2">
      <c r="A21" s="135"/>
      <c r="B21" s="107"/>
      <c r="C21" s="107"/>
      <c r="D21" s="147">
        <f t="shared" ref="D21:D28" si="1">A21*B21*C21</f>
        <v>0</v>
      </c>
      <c r="E21" s="104"/>
      <c r="F21" s="104"/>
      <c r="G21" s="135">
        <v>1</v>
      </c>
      <c r="H21" s="107">
        <v>1</v>
      </c>
      <c r="I21" s="107">
        <v>0.9</v>
      </c>
      <c r="J21" s="107">
        <v>2.14</v>
      </c>
      <c r="K21" s="148">
        <f t="shared" ref="K21:K28" si="2">G21*H21*I21*J21</f>
        <v>1.9260000000000002</v>
      </c>
      <c r="L21" s="131"/>
      <c r="M21" s="307" t="s">
        <v>53</v>
      </c>
      <c r="N21" s="308"/>
      <c r="O21" s="309"/>
      <c r="P21" s="151"/>
      <c r="Q21" s="307" t="s">
        <v>54</v>
      </c>
      <c r="R21" s="308"/>
      <c r="S21" s="309"/>
    </row>
    <row r="22" spans="1:19" x14ac:dyDescent="0.2">
      <c r="A22" s="135"/>
      <c r="B22" s="107"/>
      <c r="C22" s="107"/>
      <c r="D22" s="147">
        <f>A22*B22*C22</f>
        <v>0</v>
      </c>
      <c r="E22" s="104"/>
      <c r="F22" s="104"/>
      <c r="G22" s="135">
        <v>2</v>
      </c>
      <c r="H22" s="135">
        <v>4</v>
      </c>
      <c r="I22" s="107">
        <v>0.9</v>
      </c>
      <c r="J22" s="107">
        <v>2.14</v>
      </c>
      <c r="K22" s="148">
        <f t="shared" si="2"/>
        <v>15.408000000000001</v>
      </c>
      <c r="L22" s="131"/>
      <c r="M22" s="121"/>
      <c r="N22" s="122" t="s">
        <v>249</v>
      </c>
      <c r="O22" s="123" t="s">
        <v>0</v>
      </c>
      <c r="Q22" s="121"/>
      <c r="R22" s="122" t="s">
        <v>249</v>
      </c>
      <c r="S22" s="123" t="s">
        <v>0</v>
      </c>
    </row>
    <row r="23" spans="1:19" x14ac:dyDescent="0.2">
      <c r="A23" s="135"/>
      <c r="B23" s="107"/>
      <c r="C23" s="107"/>
      <c r="D23" s="147">
        <f>A23*B23*C23</f>
        <v>0</v>
      </c>
      <c r="E23" s="104"/>
      <c r="F23" s="104"/>
      <c r="G23" s="135">
        <v>1</v>
      </c>
      <c r="H23" s="135">
        <v>1</v>
      </c>
      <c r="I23" s="107">
        <v>0.95</v>
      </c>
      <c r="J23" s="107">
        <v>2.1</v>
      </c>
      <c r="K23" s="148">
        <f>G23*H23*I23*J23</f>
        <v>1.9949999999999999</v>
      </c>
      <c r="L23" s="131"/>
      <c r="M23" s="310" t="s">
        <v>232</v>
      </c>
      <c r="N23" s="311">
        <f>O17+(O17*(15/100))</f>
        <v>0</v>
      </c>
      <c r="O23" s="312">
        <f>N23/(1.2*2.4)</f>
        <v>0</v>
      </c>
      <c r="Q23" s="310" t="s">
        <v>219</v>
      </c>
      <c r="R23" s="311">
        <f>S17+(S17*(5/100))</f>
        <v>160.82429999999999</v>
      </c>
      <c r="S23" s="312">
        <f>R23/(1.2*2.5)</f>
        <v>53.6081</v>
      </c>
    </row>
    <row r="24" spans="1:19" x14ac:dyDescent="0.2">
      <c r="A24" s="135"/>
      <c r="B24" s="107"/>
      <c r="C24" s="107"/>
      <c r="D24" s="147">
        <f>A24*B24*C24</f>
        <v>0</v>
      </c>
      <c r="E24" s="104"/>
      <c r="F24" s="104"/>
      <c r="G24" s="135">
        <v>1</v>
      </c>
      <c r="H24" s="135">
        <v>3</v>
      </c>
      <c r="I24" s="107">
        <v>1.2</v>
      </c>
      <c r="J24" s="107">
        <v>1.2</v>
      </c>
      <c r="K24" s="148">
        <f t="shared" si="2"/>
        <v>4.3199999999999994</v>
      </c>
      <c r="L24" s="131"/>
      <c r="M24" s="310"/>
      <c r="N24" s="311"/>
      <c r="O24" s="312"/>
      <c r="Q24" s="310"/>
      <c r="R24" s="311"/>
      <c r="S24" s="312"/>
    </row>
    <row r="25" spans="1:19" x14ac:dyDescent="0.2">
      <c r="A25" s="135"/>
      <c r="B25" s="107"/>
      <c r="C25" s="107"/>
      <c r="D25" s="147">
        <f>A25*B25*C25</f>
        <v>0</v>
      </c>
      <c r="E25" s="104"/>
      <c r="F25" s="104"/>
      <c r="G25" s="135">
        <v>1</v>
      </c>
      <c r="H25" s="135">
        <v>2</v>
      </c>
      <c r="I25" s="107">
        <v>1.6</v>
      </c>
      <c r="J25" s="107">
        <v>1.8</v>
      </c>
      <c r="K25" s="148">
        <f t="shared" si="2"/>
        <v>5.7600000000000007</v>
      </c>
      <c r="L25" s="131"/>
      <c r="M25" s="345" t="s">
        <v>234</v>
      </c>
      <c r="N25" s="311">
        <f>O17+(O17*(15/100))</f>
        <v>0</v>
      </c>
      <c r="O25" s="312">
        <f>N25</f>
        <v>0</v>
      </c>
      <c r="Q25" s="345" t="s">
        <v>220</v>
      </c>
      <c r="R25" s="340">
        <f>S18+(S18*(5/100))</f>
        <v>20.195700000000002</v>
      </c>
      <c r="S25" s="312">
        <f>R25/(1.2*2.5)</f>
        <v>6.7319000000000004</v>
      </c>
    </row>
    <row r="26" spans="1:19" x14ac:dyDescent="0.2">
      <c r="A26" s="135"/>
      <c r="B26" s="107"/>
      <c r="C26" s="107"/>
      <c r="D26" s="147">
        <f>A26*B26*C26</f>
        <v>0</v>
      </c>
      <c r="E26" s="104"/>
      <c r="F26" s="104"/>
      <c r="G26" s="135"/>
      <c r="H26" s="135"/>
      <c r="I26" s="107"/>
      <c r="J26" s="107"/>
      <c r="K26" s="148">
        <f t="shared" si="2"/>
        <v>0</v>
      </c>
      <c r="L26" s="131"/>
      <c r="M26" s="345"/>
      <c r="N26" s="311"/>
      <c r="O26" s="312"/>
      <c r="Q26" s="345"/>
      <c r="R26" s="341"/>
      <c r="S26" s="312"/>
    </row>
    <row r="27" spans="1:19" x14ac:dyDescent="0.2">
      <c r="A27" s="107"/>
      <c r="B27" s="107"/>
      <c r="C27" s="107"/>
      <c r="D27" s="147">
        <f t="shared" si="1"/>
        <v>0</v>
      </c>
      <c r="E27" s="104"/>
      <c r="F27" s="104"/>
      <c r="G27" s="135"/>
      <c r="H27" s="135"/>
      <c r="I27" s="107"/>
      <c r="J27" s="107"/>
      <c r="K27" s="148">
        <f t="shared" si="2"/>
        <v>0</v>
      </c>
      <c r="L27" s="152"/>
      <c r="M27" s="303" t="s">
        <v>235</v>
      </c>
      <c r="N27" s="305">
        <f>O17+(O17*(15/100))</f>
        <v>0</v>
      </c>
      <c r="O27" s="313">
        <f>N27/(1.2*2.5)</f>
        <v>0</v>
      </c>
      <c r="P27" s="151"/>
      <c r="Q27" s="315" t="s">
        <v>230</v>
      </c>
      <c r="R27" s="305">
        <f>S19+(S19*(15/100))</f>
        <v>198.25999999999996</v>
      </c>
      <c r="S27" s="313">
        <f>R27/(1.22*2.44)</f>
        <v>66.601719967750597</v>
      </c>
    </row>
    <row r="28" spans="1:19" ht="13.5" thickBot="1" x14ac:dyDescent="0.25">
      <c r="A28" s="107"/>
      <c r="B28" s="107"/>
      <c r="C28" s="107"/>
      <c r="D28" s="147">
        <f t="shared" si="1"/>
        <v>0</v>
      </c>
      <c r="E28" s="104"/>
      <c r="F28" s="104"/>
      <c r="G28" s="135"/>
      <c r="H28" s="107"/>
      <c r="I28" s="107"/>
      <c r="J28" s="107"/>
      <c r="K28" s="148">
        <f t="shared" si="2"/>
        <v>0</v>
      </c>
      <c r="L28" s="152"/>
      <c r="M28" s="304"/>
      <c r="N28" s="306"/>
      <c r="O28" s="314"/>
      <c r="Q28" s="316"/>
      <c r="R28" s="306"/>
      <c r="S28" s="314"/>
    </row>
    <row r="29" spans="1:19" ht="13.5" thickBot="1" x14ac:dyDescent="0.25">
      <c r="A29" s="135"/>
      <c r="B29" s="107"/>
      <c r="C29" s="107"/>
      <c r="D29" s="147">
        <f>A29*B29*C29</f>
        <v>0</v>
      </c>
      <c r="E29" s="104"/>
      <c r="F29" s="104"/>
      <c r="G29" s="320" t="s">
        <v>223</v>
      </c>
      <c r="H29" s="321"/>
      <c r="I29" s="321"/>
      <c r="J29" s="322"/>
      <c r="K29" s="141">
        <f>SUM(K21:K28)</f>
        <v>29.409000000000006</v>
      </c>
      <c r="L29" s="131"/>
    </row>
    <row r="30" spans="1:19" x14ac:dyDescent="0.2">
      <c r="A30" s="135"/>
      <c r="B30" s="107"/>
      <c r="C30" s="107"/>
      <c r="D30" s="147">
        <f t="shared" ref="D30:D31" si="3">A30*B30*C30</f>
        <v>0</v>
      </c>
      <c r="E30" s="104"/>
      <c r="F30" s="104"/>
      <c r="G30" s="294" t="s">
        <v>228</v>
      </c>
      <c r="H30" s="295"/>
      <c r="I30" s="295"/>
      <c r="J30" s="295"/>
      <c r="K30" s="296"/>
      <c r="L30" s="104"/>
      <c r="M30" s="317" t="s">
        <v>37</v>
      </c>
      <c r="N30" s="318"/>
      <c r="O30" s="319"/>
    </row>
    <row r="31" spans="1:19" x14ac:dyDescent="0.2">
      <c r="A31" s="135"/>
      <c r="B31" s="107"/>
      <c r="C31" s="107"/>
      <c r="D31" s="147">
        <f t="shared" si="3"/>
        <v>0</v>
      </c>
      <c r="E31" s="104"/>
      <c r="F31" s="104"/>
      <c r="G31" s="135">
        <v>1</v>
      </c>
      <c r="H31" s="107">
        <v>1</v>
      </c>
      <c r="I31" s="107">
        <v>0.6</v>
      </c>
      <c r="J31" s="107">
        <v>0.4</v>
      </c>
      <c r="K31" s="148">
        <f t="shared" ref="K31:K33" si="4">H31*I31*J31*G31</f>
        <v>0.24</v>
      </c>
      <c r="L31" s="152"/>
      <c r="M31" s="290" t="s">
        <v>236</v>
      </c>
      <c r="N31" s="291"/>
      <c r="O31" s="164">
        <f>(O17+(O17*(15/100)))/6</f>
        <v>0</v>
      </c>
    </row>
    <row r="32" spans="1:19" ht="13.5" thickBot="1" x14ac:dyDescent="0.25">
      <c r="A32" s="135"/>
      <c r="B32" s="107"/>
      <c r="C32" s="107"/>
      <c r="D32" s="147">
        <f>A32*B32*C32</f>
        <v>0</v>
      </c>
      <c r="E32" s="104"/>
      <c r="F32" s="104"/>
      <c r="G32" s="135">
        <v>1</v>
      </c>
      <c r="H32" s="107">
        <v>1</v>
      </c>
      <c r="I32" s="107">
        <v>0.9</v>
      </c>
      <c r="J32" s="107">
        <v>2.14</v>
      </c>
      <c r="K32" s="148">
        <f t="shared" si="4"/>
        <v>1.9260000000000002</v>
      </c>
      <c r="L32" s="152"/>
      <c r="M32" s="292" t="s">
        <v>237</v>
      </c>
      <c r="N32" s="293"/>
      <c r="O32" s="165">
        <f>(S19+(S19*(15/100)))/6</f>
        <v>33.043333333333329</v>
      </c>
    </row>
    <row r="33" spans="1:19" x14ac:dyDescent="0.2">
      <c r="A33" s="135"/>
      <c r="B33" s="107"/>
      <c r="C33" s="107"/>
      <c r="D33" s="147">
        <f>A33*B33*C33</f>
        <v>0</v>
      </c>
      <c r="E33" s="104"/>
      <c r="F33" s="104"/>
      <c r="G33" s="98"/>
      <c r="H33" s="97"/>
      <c r="I33" s="97"/>
      <c r="J33" s="97"/>
      <c r="K33" s="148">
        <f t="shared" si="4"/>
        <v>0</v>
      </c>
      <c r="L33" s="145"/>
      <c r="P33" s="151"/>
    </row>
    <row r="34" spans="1:19" ht="13.5" thickBot="1" x14ac:dyDescent="0.25">
      <c r="A34" s="129"/>
      <c r="B34" s="130"/>
      <c r="C34" s="117" t="s">
        <v>203</v>
      </c>
      <c r="D34" s="140">
        <f>SUM(D21:D33)</f>
        <v>0</v>
      </c>
      <c r="E34" s="104"/>
      <c r="F34" s="104"/>
      <c r="G34" s="323" t="s">
        <v>224</v>
      </c>
      <c r="H34" s="324"/>
      <c r="I34" s="324"/>
      <c r="J34" s="325"/>
      <c r="K34" s="141">
        <f>SUM(K31:K33)</f>
        <v>2.1660000000000004</v>
      </c>
      <c r="L34" s="104"/>
      <c r="P34" s="151"/>
    </row>
    <row r="35" spans="1:19" ht="13.5" thickBot="1" x14ac:dyDescent="0.25">
      <c r="E35" s="104"/>
      <c r="F35" s="104"/>
      <c r="G35" s="326" t="s">
        <v>222</v>
      </c>
      <c r="H35" s="327"/>
      <c r="I35" s="327"/>
      <c r="J35" s="328"/>
      <c r="K35" s="142">
        <f>SUM(K29+K34)</f>
        <v>31.575000000000006</v>
      </c>
      <c r="L35" s="104"/>
      <c r="P35" s="151"/>
    </row>
    <row r="36" spans="1:19" x14ac:dyDescent="0.2">
      <c r="A36" s="104"/>
      <c r="B36" s="104"/>
      <c r="C36" s="104"/>
      <c r="D36" s="145"/>
      <c r="E36" s="104"/>
      <c r="F36" s="104"/>
      <c r="G36" s="104"/>
      <c r="H36" s="104"/>
      <c r="I36" s="104"/>
      <c r="J36" s="104"/>
      <c r="K36" s="104"/>
      <c r="L36" s="104"/>
      <c r="P36" s="151"/>
    </row>
    <row r="38" spans="1:19" x14ac:dyDescent="0.2">
      <c r="Q38" s="104"/>
      <c r="R38" s="104"/>
      <c r="S38" s="104"/>
    </row>
    <row r="42" spans="1:19" x14ac:dyDescent="0.2">
      <c r="J42" s="104"/>
      <c r="K42" s="104"/>
      <c r="L42" s="104"/>
    </row>
    <row r="43" spans="1:19" x14ac:dyDescent="0.2">
      <c r="M43" s="104"/>
      <c r="N43" s="104"/>
      <c r="O43" s="104"/>
    </row>
    <row r="44" spans="1:19" x14ac:dyDescent="0.2">
      <c r="M44" s="104"/>
      <c r="N44" s="104"/>
      <c r="O44" s="104"/>
    </row>
    <row r="45" spans="1:19" x14ac:dyDescent="0.2">
      <c r="M45" s="104"/>
      <c r="N45" s="104"/>
      <c r="O45" s="104"/>
    </row>
    <row r="46" spans="1:19" x14ac:dyDescent="0.2">
      <c r="A46" s="104"/>
      <c r="B46" s="104"/>
      <c r="C46" s="104"/>
      <c r="D46" s="104"/>
      <c r="E46" s="104"/>
      <c r="F46" s="104"/>
      <c r="G46" s="104"/>
      <c r="H46" s="104"/>
      <c r="I46" s="104"/>
      <c r="M46" s="104"/>
      <c r="N46" s="104"/>
      <c r="O46" s="104"/>
    </row>
    <row r="47" spans="1:19" x14ac:dyDescent="0.2">
      <c r="D47" s="104"/>
      <c r="E47" s="104"/>
      <c r="F47" s="104"/>
      <c r="G47" s="104"/>
      <c r="H47" s="104"/>
      <c r="M47" s="104"/>
      <c r="N47" s="104"/>
      <c r="O47" s="104"/>
    </row>
    <row r="48" spans="1:19" x14ac:dyDescent="0.2">
      <c r="D48" s="104"/>
      <c r="E48" s="104"/>
      <c r="F48" s="104"/>
      <c r="G48" s="104"/>
      <c r="H48" s="104"/>
      <c r="L48" s="104"/>
      <c r="M48" s="104"/>
      <c r="N48" s="104"/>
      <c r="O48" s="104"/>
    </row>
    <row r="49" spans="4:19" ht="12.75" customHeight="1" x14ac:dyDescent="0.2">
      <c r="D49" s="104"/>
      <c r="E49" s="104"/>
      <c r="F49" s="104"/>
      <c r="L49" s="104"/>
      <c r="M49" s="104"/>
      <c r="N49" s="104"/>
    </row>
    <row r="50" spans="4:19" x14ac:dyDescent="0.2">
      <c r="D50" s="104"/>
      <c r="E50" s="104"/>
      <c r="F50" s="104"/>
      <c r="L50" s="104"/>
      <c r="M50" s="104"/>
      <c r="N50" s="104"/>
    </row>
    <row r="51" spans="4:19" ht="12.75" customHeight="1" x14ac:dyDescent="0.2">
      <c r="D51" s="104"/>
      <c r="E51" s="104"/>
      <c r="F51" s="104"/>
      <c r="L51" s="104"/>
      <c r="M51" s="104"/>
      <c r="N51" s="104"/>
    </row>
    <row r="52" spans="4:19" x14ac:dyDescent="0.2">
      <c r="D52" s="104"/>
      <c r="E52" s="104"/>
      <c r="F52" s="104"/>
      <c r="L52" s="104"/>
      <c r="M52" s="104"/>
      <c r="N52" s="104"/>
    </row>
    <row r="53" spans="4:19" x14ac:dyDescent="0.2">
      <c r="Q53" s="104"/>
      <c r="R53" s="104"/>
      <c r="S53" s="104"/>
    </row>
  </sheetData>
  <mergeCells count="44">
    <mergeCell ref="F1:F2"/>
    <mergeCell ref="I7:J7"/>
    <mergeCell ref="G19:K19"/>
    <mergeCell ref="Q21:S21"/>
    <mergeCell ref="Q23:Q24"/>
    <mergeCell ref="A1:D1"/>
    <mergeCell ref="R23:R24"/>
    <mergeCell ref="R25:R26"/>
    <mergeCell ref="S23:S24"/>
    <mergeCell ref="S25:S26"/>
    <mergeCell ref="A9:D9"/>
    <mergeCell ref="Q25:Q26"/>
    <mergeCell ref="M25:M26"/>
    <mergeCell ref="N25:N26"/>
    <mergeCell ref="O25:O26"/>
    <mergeCell ref="A13:C13"/>
    <mergeCell ref="A19:D19"/>
    <mergeCell ref="H1:K1"/>
    <mergeCell ref="F5:F6"/>
    <mergeCell ref="Q15:S15"/>
    <mergeCell ref="M15:O15"/>
    <mergeCell ref="G34:J34"/>
    <mergeCell ref="G35:J35"/>
    <mergeCell ref="H9:K9"/>
    <mergeCell ref="H13:J13"/>
    <mergeCell ref="J15:J17"/>
    <mergeCell ref="Q27:Q28"/>
    <mergeCell ref="R27:R28"/>
    <mergeCell ref="S27:S28"/>
    <mergeCell ref="M30:O30"/>
    <mergeCell ref="G29:J29"/>
    <mergeCell ref="M31:N31"/>
    <mergeCell ref="M32:N32"/>
    <mergeCell ref="G30:K30"/>
    <mergeCell ref="C15:C17"/>
    <mergeCell ref="D15:D17"/>
    <mergeCell ref="K15:K17"/>
    <mergeCell ref="M27:M28"/>
    <mergeCell ref="N27:N28"/>
    <mergeCell ref="M21:O21"/>
    <mergeCell ref="M23:M24"/>
    <mergeCell ref="N23:N24"/>
    <mergeCell ref="O23:O24"/>
    <mergeCell ref="O27:O28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4DC7-391E-4EF1-8E78-84F5C437B9B0}">
  <dimension ref="C2:R28"/>
  <sheetViews>
    <sheetView workbookViewId="0">
      <selection activeCell="H11" sqref="H11"/>
    </sheetView>
  </sheetViews>
  <sheetFormatPr defaultRowHeight="12.75" x14ac:dyDescent="0.2"/>
  <sheetData>
    <row r="2" spans="3:18" ht="13.5" thickBot="1" x14ac:dyDescent="0.25"/>
    <row r="3" spans="3:18" ht="18.75" thickBot="1" x14ac:dyDescent="0.25">
      <c r="I3" s="357" t="s">
        <v>282</v>
      </c>
      <c r="J3" s="358"/>
      <c r="K3" s="358"/>
      <c r="L3" s="358"/>
      <c r="M3" s="358"/>
      <c r="N3" s="358"/>
      <c r="O3" s="358"/>
      <c r="P3" s="358"/>
      <c r="Q3" s="358"/>
      <c r="R3" s="359"/>
    </row>
    <row r="4" spans="3:18" ht="15" x14ac:dyDescent="0.25">
      <c r="C4" s="360" t="s">
        <v>246</v>
      </c>
      <c r="D4" s="361"/>
      <c r="E4" s="361"/>
      <c r="F4" s="361"/>
      <c r="G4" s="362"/>
      <c r="I4" s="363" t="s">
        <v>216</v>
      </c>
      <c r="J4" s="364"/>
      <c r="K4" s="364"/>
      <c r="L4" s="364"/>
      <c r="M4" s="365"/>
      <c r="N4" s="366" t="s">
        <v>215</v>
      </c>
      <c r="O4" s="367"/>
      <c r="P4" s="367"/>
      <c r="Q4" s="367"/>
      <c r="R4" s="368"/>
    </row>
    <row r="5" spans="3:18" x14ac:dyDescent="0.2">
      <c r="C5" s="167"/>
      <c r="D5" s="168" t="s">
        <v>201</v>
      </c>
      <c r="E5" s="168" t="s">
        <v>114</v>
      </c>
      <c r="F5" s="168" t="s">
        <v>0</v>
      </c>
      <c r="G5" s="169" t="s">
        <v>111</v>
      </c>
      <c r="I5" s="198" t="s">
        <v>283</v>
      </c>
      <c r="J5" s="199" t="s">
        <v>284</v>
      </c>
      <c r="K5" s="199" t="s">
        <v>116</v>
      </c>
      <c r="L5" s="199" t="s">
        <v>285</v>
      </c>
      <c r="M5" s="200" t="s">
        <v>117</v>
      </c>
      <c r="N5" s="198" t="s">
        <v>283</v>
      </c>
      <c r="O5" s="199" t="s">
        <v>284</v>
      </c>
      <c r="P5" s="199" t="s">
        <v>116</v>
      </c>
      <c r="Q5" s="199" t="s">
        <v>285</v>
      </c>
      <c r="R5" s="200" t="s">
        <v>117</v>
      </c>
    </row>
    <row r="6" spans="3:18" x14ac:dyDescent="0.2">
      <c r="C6" s="170"/>
      <c r="G6" s="171"/>
      <c r="I6" s="170"/>
      <c r="L6" s="201"/>
      <c r="M6" s="202"/>
      <c r="N6" s="170"/>
      <c r="R6" s="171"/>
    </row>
    <row r="7" spans="3:18" x14ac:dyDescent="0.2">
      <c r="C7" s="177" t="s">
        <v>247</v>
      </c>
      <c r="D7" s="172"/>
      <c r="E7" s="172"/>
      <c r="F7" s="172">
        <v>1</v>
      </c>
      <c r="G7" s="178">
        <f>D7*E7*F7</f>
        <v>0</v>
      </c>
      <c r="I7" s="203"/>
      <c r="J7" s="204"/>
      <c r="K7" s="205"/>
      <c r="L7" s="206"/>
      <c r="M7" s="207"/>
      <c r="N7" s="208"/>
      <c r="O7" s="172"/>
      <c r="P7" s="209"/>
      <c r="Q7" s="206"/>
      <c r="R7" s="210"/>
    </row>
    <row r="8" spans="3:18" x14ac:dyDescent="0.2">
      <c r="C8" s="177" t="s">
        <v>286</v>
      </c>
      <c r="D8" s="172"/>
      <c r="E8" s="172"/>
      <c r="F8" s="172">
        <v>1</v>
      </c>
      <c r="G8" s="178">
        <f t="shared" ref="G8:G11" si="0">D8*E8*F8</f>
        <v>0</v>
      </c>
      <c r="I8" s="203"/>
      <c r="J8" s="204"/>
      <c r="K8" s="205"/>
      <c r="L8" s="206"/>
      <c r="M8" s="207"/>
      <c r="N8" s="208"/>
      <c r="O8" s="172"/>
      <c r="P8" s="206"/>
      <c r="Q8" s="206"/>
      <c r="R8" s="211"/>
    </row>
    <row r="9" spans="3:18" x14ac:dyDescent="0.2">
      <c r="C9" s="177" t="s">
        <v>124</v>
      </c>
      <c r="D9" s="172"/>
      <c r="E9" s="172"/>
      <c r="F9" s="172">
        <v>1</v>
      </c>
      <c r="G9" s="178">
        <f t="shared" si="0"/>
        <v>0</v>
      </c>
      <c r="I9" s="203"/>
      <c r="J9" s="204"/>
      <c r="K9" s="205"/>
      <c r="L9" s="206"/>
      <c r="M9" s="207"/>
      <c r="N9" s="208"/>
      <c r="O9" s="172"/>
      <c r="P9" s="206"/>
      <c r="Q9" s="206"/>
      <c r="R9" s="211"/>
    </row>
    <row r="10" spans="3:18" x14ac:dyDescent="0.2">
      <c r="C10" s="177" t="s">
        <v>287</v>
      </c>
      <c r="D10" s="172"/>
      <c r="E10" s="172"/>
      <c r="F10" s="172">
        <v>1</v>
      </c>
      <c r="G10" s="178">
        <f t="shared" si="0"/>
        <v>0</v>
      </c>
      <c r="I10" s="203"/>
      <c r="J10" s="204"/>
      <c r="K10" s="205"/>
      <c r="L10" s="206"/>
      <c r="M10" s="207"/>
      <c r="N10" s="212"/>
      <c r="O10" s="213"/>
      <c r="P10" s="206"/>
      <c r="Q10" s="206"/>
      <c r="R10" s="211"/>
    </row>
    <row r="11" spans="3:18" x14ac:dyDescent="0.2">
      <c r="C11" s="177" t="s">
        <v>288</v>
      </c>
      <c r="D11" s="172"/>
      <c r="E11" s="172"/>
      <c r="F11" s="172">
        <v>1</v>
      </c>
      <c r="G11" s="178">
        <f t="shared" si="0"/>
        <v>0</v>
      </c>
      <c r="I11" s="203"/>
      <c r="J11" s="204"/>
      <c r="K11" s="205"/>
      <c r="L11" s="206"/>
      <c r="M11" s="207"/>
      <c r="N11" s="212"/>
      <c r="O11" s="213"/>
      <c r="P11" s="206"/>
      <c r="Q11" s="206"/>
      <c r="R11" s="211"/>
    </row>
    <row r="12" spans="3:18" x14ac:dyDescent="0.2">
      <c r="C12" s="177"/>
      <c r="D12" s="172"/>
      <c r="E12" s="172"/>
      <c r="F12" s="172"/>
      <c r="G12" s="178"/>
      <c r="I12" s="203"/>
      <c r="J12" s="214"/>
      <c r="K12" s="205"/>
      <c r="L12" s="201"/>
      <c r="M12" s="215"/>
      <c r="N12" s="212"/>
      <c r="O12" s="213"/>
      <c r="P12" s="206"/>
      <c r="Q12" s="206"/>
      <c r="R12" s="211"/>
    </row>
    <row r="13" spans="3:18" x14ac:dyDescent="0.2">
      <c r="C13" s="177"/>
      <c r="D13" s="172"/>
      <c r="E13" s="172"/>
      <c r="F13" s="172"/>
      <c r="G13" s="178"/>
      <c r="I13" s="216"/>
      <c r="J13" s="214"/>
      <c r="K13" s="205"/>
      <c r="L13" s="201"/>
      <c r="M13" s="215"/>
      <c r="N13" s="212"/>
      <c r="O13" s="213"/>
      <c r="P13" s="206"/>
      <c r="Q13" s="206"/>
      <c r="R13" s="211"/>
    </row>
    <row r="14" spans="3:18" x14ac:dyDescent="0.2">
      <c r="C14" s="167"/>
      <c r="D14" s="172"/>
      <c r="E14" s="172"/>
      <c r="F14" s="172"/>
      <c r="G14" s="171"/>
      <c r="I14" s="212"/>
      <c r="J14" s="213"/>
      <c r="K14" s="213"/>
      <c r="L14" s="213"/>
      <c r="M14" s="217"/>
      <c r="N14" s="212"/>
      <c r="O14" s="213"/>
      <c r="P14" s="206"/>
      <c r="Q14" s="206"/>
      <c r="R14" s="211"/>
    </row>
    <row r="15" spans="3:18" ht="13.5" thickBot="1" x14ac:dyDescent="0.25">
      <c r="C15" s="181" t="s">
        <v>67</v>
      </c>
      <c r="D15" s="182"/>
      <c r="E15" s="182"/>
      <c r="F15" s="182">
        <f>SUM(F7:F14)</f>
        <v>5</v>
      </c>
      <c r="G15" s="183">
        <f ca="1">SUM(G7:G15)</f>
        <v>5.58</v>
      </c>
      <c r="I15" s="218" t="s">
        <v>67</v>
      </c>
      <c r="J15" s="219"/>
      <c r="K15" s="219">
        <f>SUM(K7:K14)</f>
        <v>0</v>
      </c>
      <c r="L15" s="219"/>
      <c r="M15" s="220">
        <f>SUM(M7:M14)</f>
        <v>0</v>
      </c>
      <c r="N15" s="197" t="s">
        <v>67</v>
      </c>
      <c r="O15" s="219"/>
      <c r="P15" s="221">
        <f>SUM(P7:P14)</f>
        <v>0</v>
      </c>
      <c r="Q15" s="221"/>
      <c r="R15" s="222">
        <f>SUM(R7:R14)</f>
        <v>0</v>
      </c>
    </row>
    <row r="16" spans="3:18" ht="13.5" thickBot="1" x14ac:dyDescent="0.25">
      <c r="I16" s="213"/>
      <c r="J16" s="213"/>
      <c r="K16" s="213"/>
      <c r="L16" s="213"/>
      <c r="M16" s="213"/>
    </row>
    <row r="17" spans="3:15" ht="21" thickBot="1" x14ac:dyDescent="0.25">
      <c r="C17" s="174"/>
      <c r="D17" s="172"/>
      <c r="E17" s="172"/>
      <c r="F17" s="172"/>
      <c r="K17" s="369" t="s">
        <v>289</v>
      </c>
      <c r="L17" s="370"/>
      <c r="M17" s="370"/>
      <c r="N17" s="370"/>
      <c r="O17" s="371"/>
    </row>
    <row r="18" spans="3:15" ht="15" x14ac:dyDescent="0.25">
      <c r="C18" s="360" t="s">
        <v>248</v>
      </c>
      <c r="D18" s="361"/>
      <c r="E18" s="361"/>
      <c r="F18" s="361"/>
      <c r="G18" s="362"/>
      <c r="K18" s="198" t="s">
        <v>283</v>
      </c>
      <c r="L18" s="199" t="s">
        <v>284</v>
      </c>
      <c r="M18" s="199" t="s">
        <v>117</v>
      </c>
      <c r="N18" s="199" t="s">
        <v>285</v>
      </c>
      <c r="O18" s="200" t="s">
        <v>116</v>
      </c>
    </row>
    <row r="19" spans="3:15" x14ac:dyDescent="0.2">
      <c r="C19" s="167"/>
      <c r="D19" s="168" t="s">
        <v>201</v>
      </c>
      <c r="E19" s="168" t="s">
        <v>114</v>
      </c>
      <c r="F19" s="168" t="s">
        <v>0</v>
      </c>
      <c r="G19" s="169" t="s">
        <v>111</v>
      </c>
      <c r="K19" s="170"/>
      <c r="O19" s="171"/>
    </row>
    <row r="20" spans="3:15" x14ac:dyDescent="0.2">
      <c r="C20" s="167" t="s">
        <v>252</v>
      </c>
      <c r="D20" s="172">
        <v>0.95</v>
      </c>
      <c r="E20" s="172">
        <v>2.1</v>
      </c>
      <c r="F20" s="172">
        <v>1</v>
      </c>
      <c r="G20" s="178">
        <f>F20*E20*D20</f>
        <v>1.9949999999999999</v>
      </c>
      <c r="J20" s="73"/>
      <c r="K20" s="212"/>
      <c r="L20" s="213"/>
      <c r="M20" s="205"/>
      <c r="N20" s="213"/>
      <c r="O20" s="210"/>
    </row>
    <row r="21" spans="3:15" x14ac:dyDescent="0.2">
      <c r="C21" s="167" t="s">
        <v>253</v>
      </c>
      <c r="D21" s="172">
        <v>0.9</v>
      </c>
      <c r="E21" s="172">
        <v>2.14</v>
      </c>
      <c r="F21" s="172">
        <v>1</v>
      </c>
      <c r="G21" s="178">
        <f>F21*E21*D21</f>
        <v>1.9260000000000002</v>
      </c>
      <c r="J21" s="73"/>
      <c r="K21" s="212"/>
      <c r="L21" s="223"/>
      <c r="M21" s="205"/>
      <c r="N21" s="213"/>
      <c r="O21" s="210"/>
    </row>
    <row r="22" spans="3:15" x14ac:dyDescent="0.2">
      <c r="C22" s="167"/>
      <c r="D22" s="172"/>
      <c r="E22" s="172"/>
      <c r="F22" s="172"/>
      <c r="G22" s="178"/>
      <c r="J22" s="73"/>
      <c r="K22" s="212"/>
      <c r="L22" s="213"/>
      <c r="M22" s="205"/>
      <c r="N22" s="213"/>
      <c r="O22" s="210"/>
    </row>
    <row r="23" spans="3:15" ht="13.5" thickBot="1" x14ac:dyDescent="0.25">
      <c r="C23" s="181" t="s">
        <v>67</v>
      </c>
      <c r="D23" s="184"/>
      <c r="E23" s="184"/>
      <c r="F23" s="185">
        <f>SUM(F20:F22)</f>
        <v>2</v>
      </c>
      <c r="G23" s="183">
        <f>SUM(G20:G22)</f>
        <v>3.9210000000000003</v>
      </c>
      <c r="J23" s="73"/>
      <c r="K23" s="212"/>
      <c r="L23" s="223"/>
      <c r="M23" s="205"/>
      <c r="N23" s="213"/>
      <c r="O23" s="210"/>
    </row>
    <row r="24" spans="3:15" x14ac:dyDescent="0.2">
      <c r="J24" s="73"/>
      <c r="K24" s="354"/>
      <c r="L24" s="355"/>
      <c r="M24" s="355"/>
      <c r="N24" s="355"/>
      <c r="O24" s="356"/>
    </row>
    <row r="25" spans="3:15" x14ac:dyDescent="0.2">
      <c r="J25" s="73"/>
      <c r="K25" s="354"/>
      <c r="L25" s="355"/>
      <c r="M25" s="355"/>
      <c r="N25" s="355"/>
      <c r="O25" s="356"/>
    </row>
    <row r="26" spans="3:15" x14ac:dyDescent="0.2">
      <c r="J26" s="73"/>
      <c r="K26" s="224"/>
      <c r="L26" s="225"/>
      <c r="M26" s="225"/>
      <c r="N26" s="225"/>
      <c r="O26" s="226"/>
    </row>
    <row r="27" spans="3:15" x14ac:dyDescent="0.2">
      <c r="K27" s="212"/>
      <c r="L27" s="213"/>
      <c r="M27" s="213"/>
      <c r="N27" s="213"/>
      <c r="O27" s="217"/>
    </row>
    <row r="28" spans="3:15" ht="13.5" thickBot="1" x14ac:dyDescent="0.25">
      <c r="K28" s="218" t="s">
        <v>67</v>
      </c>
      <c r="L28" s="219"/>
      <c r="M28" s="219">
        <f>SUM(M20:M27)</f>
        <v>0</v>
      </c>
      <c r="N28" s="219"/>
      <c r="O28" s="227">
        <f>SUM(O20:O27)</f>
        <v>0</v>
      </c>
    </row>
  </sheetData>
  <mergeCells count="8">
    <mergeCell ref="K24:O24"/>
    <mergeCell ref="K25:O25"/>
    <mergeCell ref="I3:R3"/>
    <mergeCell ref="C4:G4"/>
    <mergeCell ref="I4:M4"/>
    <mergeCell ref="N4:R4"/>
    <mergeCell ref="K17:O17"/>
    <mergeCell ref="C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D0DF-CD63-45A1-B36E-4AF35D1FE9BC}">
  <dimension ref="B2:R46"/>
  <sheetViews>
    <sheetView workbookViewId="0">
      <selection activeCell="G41" sqref="G41"/>
    </sheetView>
  </sheetViews>
  <sheetFormatPr defaultRowHeight="12.75" x14ac:dyDescent="0.2"/>
  <cols>
    <col min="15" max="15" width="16.42578125" bestFit="1" customWidth="1"/>
  </cols>
  <sheetData>
    <row r="2" spans="2:18" ht="13.5" thickBot="1" x14ac:dyDescent="0.25"/>
    <row r="3" spans="2:18" ht="15" x14ac:dyDescent="0.2">
      <c r="B3" s="382" t="s">
        <v>32</v>
      </c>
      <c r="C3" s="382"/>
      <c r="D3" s="382"/>
      <c r="E3" s="382"/>
      <c r="F3" s="382"/>
      <c r="O3" s="383" t="s">
        <v>254</v>
      </c>
      <c r="P3" s="384"/>
      <c r="Q3" s="384"/>
      <c r="R3" s="385"/>
    </row>
    <row r="4" spans="2:18" x14ac:dyDescent="0.2">
      <c r="B4" s="382"/>
      <c r="C4" s="382"/>
      <c r="D4" s="382"/>
      <c r="E4" s="382"/>
      <c r="F4" s="382"/>
      <c r="O4" s="170"/>
      <c r="P4" s="186" t="s">
        <v>255</v>
      </c>
      <c r="Q4" s="187" t="s">
        <v>256</v>
      </c>
      <c r="R4" s="176" t="s">
        <v>257</v>
      </c>
    </row>
    <row r="5" spans="2:18" ht="13.5" thickBot="1" x14ac:dyDescent="0.25">
      <c r="O5" s="188" t="s">
        <v>258</v>
      </c>
      <c r="P5" s="73">
        <v>10</v>
      </c>
      <c r="R5" s="171">
        <f>Q5*P5</f>
        <v>0</v>
      </c>
    </row>
    <row r="6" spans="2:18" x14ac:dyDescent="0.2">
      <c r="B6" s="386" t="s">
        <v>25</v>
      </c>
      <c r="C6" s="387"/>
      <c r="D6" s="192" t="s">
        <v>263</v>
      </c>
      <c r="O6" s="189" t="s">
        <v>259</v>
      </c>
      <c r="P6">
        <v>6</v>
      </c>
      <c r="R6" s="171"/>
    </row>
    <row r="7" spans="2:18" ht="13.5" thickBot="1" x14ac:dyDescent="0.25">
      <c r="B7" s="388"/>
      <c r="C7" s="389"/>
      <c r="D7" s="193" t="s">
        <v>264</v>
      </c>
      <c r="O7" s="189" t="s">
        <v>260</v>
      </c>
      <c r="P7">
        <v>10</v>
      </c>
      <c r="R7" s="171">
        <f>Q7*P7</f>
        <v>0</v>
      </c>
    </row>
    <row r="8" spans="2:18" ht="15.75" thickBot="1" x14ac:dyDescent="0.25">
      <c r="B8" s="194"/>
      <c r="C8" s="194"/>
      <c r="D8" s="73"/>
      <c r="O8" s="188" t="s">
        <v>261</v>
      </c>
      <c r="P8">
        <v>10</v>
      </c>
      <c r="R8" s="171">
        <f>Q8*P8</f>
        <v>0</v>
      </c>
    </row>
    <row r="9" spans="2:18" x14ac:dyDescent="0.2">
      <c r="B9" s="386" t="s">
        <v>24</v>
      </c>
      <c r="C9" s="387"/>
      <c r="D9" s="390" t="s">
        <v>265</v>
      </c>
      <c r="E9" s="391"/>
      <c r="F9" s="392"/>
      <c r="O9" s="188" t="s">
        <v>262</v>
      </c>
      <c r="P9">
        <v>6</v>
      </c>
      <c r="R9" s="171"/>
    </row>
    <row r="10" spans="2:18" ht="13.5" thickBot="1" x14ac:dyDescent="0.25">
      <c r="B10" s="388"/>
      <c r="C10" s="389"/>
      <c r="D10" s="393"/>
      <c r="E10" s="394"/>
      <c r="F10" s="395"/>
      <c r="O10" s="170"/>
      <c r="R10" s="171"/>
    </row>
    <row r="11" spans="2:18" ht="15.75" thickBot="1" x14ac:dyDescent="0.25">
      <c r="B11" s="194"/>
      <c r="C11" s="194"/>
      <c r="D11" s="73"/>
      <c r="O11" s="190"/>
      <c r="P11" s="175"/>
      <c r="Q11" s="180" t="s">
        <v>67</v>
      </c>
      <c r="R11" s="191">
        <f>SUM(R5:R8)</f>
        <v>0</v>
      </c>
    </row>
    <row r="12" spans="2:18" ht="13.5" thickBot="1" x14ac:dyDescent="0.25">
      <c r="B12" s="372" t="s">
        <v>266</v>
      </c>
      <c r="C12" s="373"/>
      <c r="D12" s="376" t="s">
        <v>267</v>
      </c>
      <c r="E12" s="377"/>
      <c r="F12" s="378"/>
    </row>
    <row r="13" spans="2:18" ht="13.5" thickBot="1" x14ac:dyDescent="0.25">
      <c r="B13" s="374"/>
      <c r="C13" s="375"/>
      <c r="D13" s="379" t="s">
        <v>268</v>
      </c>
      <c r="E13" s="380"/>
      <c r="F13" s="380"/>
      <c r="G13" s="380"/>
      <c r="H13" s="380"/>
      <c r="I13" s="380"/>
      <c r="J13" s="381"/>
    </row>
    <row r="14" spans="2:18" ht="15.75" thickBot="1" x14ac:dyDescent="0.25">
      <c r="B14" s="194"/>
      <c r="C14" s="194"/>
      <c r="D14" s="73"/>
    </row>
    <row r="15" spans="2:18" x14ac:dyDescent="0.2">
      <c r="B15" s="372" t="s">
        <v>12</v>
      </c>
      <c r="C15" s="373"/>
      <c r="D15" s="398" t="s">
        <v>269</v>
      </c>
    </row>
    <row r="16" spans="2:18" ht="13.5" thickBot="1" x14ac:dyDescent="0.25">
      <c r="B16" s="374"/>
      <c r="C16" s="375"/>
      <c r="D16" s="399"/>
    </row>
    <row r="17" spans="2:17" ht="15.75" thickBot="1" x14ac:dyDescent="0.25">
      <c r="B17" s="194"/>
      <c r="C17" s="194"/>
      <c r="D17" s="73"/>
    </row>
    <row r="18" spans="2:17" x14ac:dyDescent="0.2">
      <c r="B18" s="372" t="s">
        <v>270</v>
      </c>
      <c r="C18" s="373"/>
      <c r="D18" s="400" t="s">
        <v>271</v>
      </c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2"/>
    </row>
    <row r="19" spans="2:17" ht="13.5" thickBot="1" x14ac:dyDescent="0.25">
      <c r="B19" s="374"/>
      <c r="C19" s="375"/>
      <c r="D19" s="393" t="s">
        <v>272</v>
      </c>
      <c r="E19" s="403"/>
      <c r="F19" s="403"/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4"/>
    </row>
    <row r="20" spans="2:17" ht="15.75" thickBot="1" x14ac:dyDescent="0.25">
      <c r="B20" s="194"/>
      <c r="C20" s="194"/>
      <c r="D20" s="73"/>
    </row>
    <row r="21" spans="2:17" x14ac:dyDescent="0.2">
      <c r="B21" s="372" t="s">
        <v>130</v>
      </c>
      <c r="C21" s="373"/>
      <c r="D21" s="73"/>
    </row>
    <row r="22" spans="2:17" ht="13.5" thickBot="1" x14ac:dyDescent="0.25">
      <c r="B22" s="374"/>
      <c r="C22" s="375"/>
      <c r="D22" s="73"/>
    </row>
    <row r="23" spans="2:17" ht="15.75" thickBot="1" x14ac:dyDescent="0.25">
      <c r="B23" s="194"/>
      <c r="C23" s="194"/>
      <c r="D23" s="73"/>
    </row>
    <row r="24" spans="2:17" x14ac:dyDescent="0.2">
      <c r="B24" s="372" t="s">
        <v>131</v>
      </c>
      <c r="C24" s="373"/>
      <c r="D24" s="73" t="s">
        <v>273</v>
      </c>
    </row>
    <row r="25" spans="2:17" ht="13.5" thickBot="1" x14ac:dyDescent="0.25">
      <c r="B25" s="374"/>
      <c r="C25" s="375"/>
    </row>
    <row r="26" spans="2:17" ht="13.5" thickBot="1" x14ac:dyDescent="0.25"/>
    <row r="27" spans="2:17" x14ac:dyDescent="0.2">
      <c r="B27" s="372" t="s">
        <v>132</v>
      </c>
      <c r="C27" s="373"/>
    </row>
    <row r="28" spans="2:17" ht="13.5" thickBot="1" x14ac:dyDescent="0.25">
      <c r="B28" s="374"/>
      <c r="C28" s="375"/>
    </row>
    <row r="29" spans="2:17" ht="13.5" thickBot="1" x14ac:dyDescent="0.25"/>
    <row r="30" spans="2:17" x14ac:dyDescent="0.2">
      <c r="B30" s="386" t="s">
        <v>64</v>
      </c>
      <c r="C30" s="387"/>
      <c r="D30" s="376" t="s">
        <v>274</v>
      </c>
      <c r="E30" s="377"/>
      <c r="F30" s="377"/>
      <c r="G30" s="377"/>
      <c r="H30" s="377"/>
      <c r="I30" s="378"/>
    </row>
    <row r="31" spans="2:17" ht="13.5" thickBot="1" x14ac:dyDescent="0.25">
      <c r="B31" s="388"/>
      <c r="C31" s="389"/>
      <c r="D31" s="195" t="s">
        <v>275</v>
      </c>
      <c r="E31" s="175"/>
      <c r="F31" s="175"/>
      <c r="G31" s="175"/>
      <c r="H31" s="175"/>
      <c r="I31" s="173"/>
    </row>
    <row r="32" spans="2:17" ht="13.5" thickBot="1" x14ac:dyDescent="0.25"/>
    <row r="33" spans="2:5" x14ac:dyDescent="0.2">
      <c r="B33" s="386" t="s">
        <v>63</v>
      </c>
      <c r="C33" s="387"/>
      <c r="D33" s="196" t="s">
        <v>276</v>
      </c>
      <c r="E33" s="179"/>
    </row>
    <row r="34" spans="2:5" ht="13.5" thickBot="1" x14ac:dyDescent="0.25">
      <c r="B34" s="388"/>
      <c r="C34" s="389"/>
      <c r="D34" s="195" t="s">
        <v>277</v>
      </c>
      <c r="E34" s="173"/>
    </row>
    <row r="35" spans="2:5" ht="13.5" thickBot="1" x14ac:dyDescent="0.25"/>
    <row r="36" spans="2:5" x14ac:dyDescent="0.2">
      <c r="B36" s="386" t="s">
        <v>278</v>
      </c>
      <c r="C36" s="387"/>
      <c r="D36" s="376" t="s">
        <v>279</v>
      </c>
      <c r="E36" s="378"/>
    </row>
    <row r="37" spans="2:5" ht="13.5" thickBot="1" x14ac:dyDescent="0.25">
      <c r="B37" s="388"/>
      <c r="C37" s="389"/>
      <c r="D37" s="396" t="s">
        <v>280</v>
      </c>
      <c r="E37" s="397"/>
    </row>
    <row r="38" spans="2:5" ht="13.5" thickBot="1" x14ac:dyDescent="0.25"/>
    <row r="39" spans="2:5" x14ac:dyDescent="0.2">
      <c r="B39" s="386" t="s">
        <v>26</v>
      </c>
      <c r="C39" s="387"/>
      <c r="D39" s="398" t="s">
        <v>281</v>
      </c>
    </row>
    <row r="40" spans="2:5" ht="13.5" thickBot="1" x14ac:dyDescent="0.25">
      <c r="B40" s="388"/>
      <c r="C40" s="389"/>
      <c r="D40" s="405"/>
    </row>
    <row r="41" spans="2:5" ht="13.5" thickBot="1" x14ac:dyDescent="0.25"/>
    <row r="42" spans="2:5" x14ac:dyDescent="0.2">
      <c r="B42" s="386" t="s">
        <v>27</v>
      </c>
      <c r="C42" s="387"/>
      <c r="D42" s="398" t="s">
        <v>281</v>
      </c>
    </row>
    <row r="43" spans="2:5" ht="13.5" thickBot="1" x14ac:dyDescent="0.25">
      <c r="B43" s="388"/>
      <c r="C43" s="389"/>
      <c r="D43" s="405"/>
    </row>
    <row r="44" spans="2:5" ht="13.5" thickBot="1" x14ac:dyDescent="0.25"/>
    <row r="45" spans="2:5" x14ac:dyDescent="0.2">
      <c r="B45" s="386" t="s">
        <v>28</v>
      </c>
      <c r="C45" s="387"/>
      <c r="D45" s="398" t="s">
        <v>281</v>
      </c>
    </row>
    <row r="46" spans="2:5" ht="13.5" thickBot="1" x14ac:dyDescent="0.25">
      <c r="B46" s="388"/>
      <c r="C46" s="389"/>
      <c r="D46" s="405"/>
    </row>
  </sheetData>
  <mergeCells count="28">
    <mergeCell ref="B39:C40"/>
    <mergeCell ref="D39:D40"/>
    <mergeCell ref="B42:C43"/>
    <mergeCell ref="D42:D43"/>
    <mergeCell ref="B45:C46"/>
    <mergeCell ref="D45:D46"/>
    <mergeCell ref="B36:C37"/>
    <mergeCell ref="D36:E36"/>
    <mergeCell ref="D37:E37"/>
    <mergeCell ref="B15:C16"/>
    <mergeCell ref="D15:D16"/>
    <mergeCell ref="B18:C19"/>
    <mergeCell ref="D18:Q18"/>
    <mergeCell ref="D19:Q19"/>
    <mergeCell ref="B21:C22"/>
    <mergeCell ref="B24:C25"/>
    <mergeCell ref="B27:C28"/>
    <mergeCell ref="B30:C31"/>
    <mergeCell ref="D30:I30"/>
    <mergeCell ref="B33:C34"/>
    <mergeCell ref="B12:C13"/>
    <mergeCell ref="D12:F12"/>
    <mergeCell ref="D13:J13"/>
    <mergeCell ref="B3:F4"/>
    <mergeCell ref="O3:R3"/>
    <mergeCell ref="B6:C7"/>
    <mergeCell ref="B9:C10"/>
    <mergeCell ref="D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</vt:i4>
      </vt:variant>
    </vt:vector>
  </HeadingPairs>
  <TitlesOfParts>
    <vt:vector size="6" baseType="lpstr">
      <vt:lpstr>M2 HESAPLAMA</vt:lpstr>
      <vt:lpstr>PREFABRİK</vt:lpstr>
      <vt:lpstr>BOYA HESABI</vt:lpstr>
      <vt:lpstr>BÜŞRA NUR</vt:lpstr>
      <vt:lpstr>VİDA BİLGİ</vt:lpstr>
      <vt:lpstr>PREFABRİK!Yazdırma_Alanı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Loftev - Satış Sonrası Prefabrik</cp:lastModifiedBy>
  <cp:lastPrinted>2024-04-25T15:03:34Z</cp:lastPrinted>
  <dcterms:created xsi:type="dcterms:W3CDTF">2000-04-29T05:09:31Z</dcterms:created>
  <dcterms:modified xsi:type="dcterms:W3CDTF">2025-09-16T15:22:26Z</dcterms:modified>
</cp:coreProperties>
</file>
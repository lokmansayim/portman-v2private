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kma\OneDrive\Masaüstü\MOZER\1. Proje\1. Prefabrik\14. SEVIM GULER\3. R03\"/>
    </mc:Choice>
  </mc:AlternateContent>
  <xr:revisionPtr revIDLastSave="0" documentId="13_ncr:1_{F91B10EE-F63B-4A63-A460-85D7B3D875D9}" xr6:coauthVersionLast="47" xr6:coauthVersionMax="47" xr10:uidLastSave="{00000000-0000-0000-0000-000000000000}"/>
  <bookViews>
    <workbookView xWindow="28680" yWindow="-2730" windowWidth="38640" windowHeight="21240" tabRatio="929" activeTab="1" xr2:uid="{00000000-000D-0000-FFFF-FFFF00000000}"/>
  </bookViews>
  <sheets>
    <sheet name="ÇELİK" sheetId="28" r:id="rId1"/>
    <sheet name="PREFABRİK" sheetId="29" r:id="rId2"/>
    <sheet name="BATUHAN TINMAZ" sheetId="30" r:id="rId3"/>
    <sheet name="VİDA BİLGİ" sheetId="32" r:id="rId4"/>
  </sheets>
  <definedNames>
    <definedName name="_xlnm._FilterDatabase" localSheetId="0" hidden="1">ÇELİK!$A$40:$E$55</definedName>
    <definedName name="_xlnm._FilterDatabase" localSheetId="1" hidden="1">PREFABRİK!$A$10:$C$12</definedName>
    <definedName name="_xlnm.Print_Area" localSheetId="0">ÇELİK!$A$1:$F$215</definedName>
    <definedName name="_xlnm.Print_Area" localSheetId="1">PREFABRİK!$A$1:$E$138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30" l="1"/>
  <c r="V13" i="30"/>
  <c r="Q13" i="30"/>
  <c r="I4" i="30"/>
  <c r="I5" i="30"/>
  <c r="I3" i="30"/>
  <c r="W19" i="30" l="1"/>
  <c r="X19" i="30" s="1"/>
  <c r="V10" i="30"/>
  <c r="Q10" i="30"/>
  <c r="W18" i="30" s="1"/>
  <c r="X18" i="30" s="1"/>
  <c r="D31" i="30"/>
  <c r="D30" i="30"/>
  <c r="K30" i="30"/>
  <c r="K31" i="30"/>
  <c r="R8" i="32" l="1"/>
  <c r="R7" i="32"/>
  <c r="R5" i="32"/>
  <c r="R11" i="32" s="1"/>
  <c r="C24" i="28" l="1"/>
  <c r="D29" i="30" l="1"/>
  <c r="D27" i="30"/>
  <c r="K16" i="30"/>
  <c r="D16" i="30"/>
  <c r="K36" i="30"/>
  <c r="J6" i="30"/>
  <c r="J5" i="30"/>
  <c r="J4" i="30"/>
  <c r="J3" i="30"/>
  <c r="D33" i="30"/>
  <c r="D34" i="30"/>
  <c r="C5" i="30"/>
  <c r="D5" i="30" s="1"/>
  <c r="K34" i="30"/>
  <c r="I6" i="30"/>
  <c r="I7" i="30" s="1"/>
  <c r="W22" i="30" s="1"/>
  <c r="X22" i="30" s="1"/>
  <c r="C3" i="30"/>
  <c r="D3" i="30" s="1"/>
  <c r="K12" i="30"/>
  <c r="D12" i="30"/>
  <c r="K11" i="30"/>
  <c r="D11" i="30"/>
  <c r="D36" i="30"/>
  <c r="K35" i="30"/>
  <c r="D35" i="30"/>
  <c r="D32" i="30"/>
  <c r="K29" i="30"/>
  <c r="K28" i="30"/>
  <c r="D28" i="30"/>
  <c r="K27" i="30"/>
  <c r="K26" i="30"/>
  <c r="D26" i="30"/>
  <c r="K25" i="30"/>
  <c r="D25" i="30"/>
  <c r="K24" i="30"/>
  <c r="D24" i="30"/>
  <c r="K23" i="30"/>
  <c r="D23" i="30"/>
  <c r="K22" i="30"/>
  <c r="D22" i="30"/>
  <c r="D4" i="30"/>
  <c r="D13" i="30" l="1"/>
  <c r="K32" i="30"/>
  <c r="K5" i="30"/>
  <c r="D37" i="30"/>
  <c r="D6" i="30"/>
  <c r="K4" i="30"/>
  <c r="K3" i="30"/>
  <c r="K37" i="30"/>
  <c r="K13" i="30"/>
  <c r="K6" i="30"/>
  <c r="N18" i="30" l="1"/>
  <c r="O18" i="30" s="1"/>
  <c r="S18" i="30"/>
  <c r="T18" i="30" s="1"/>
  <c r="S24" i="30" s="1"/>
  <c r="K7" i="30"/>
  <c r="S20" i="30" s="1"/>
  <c r="S19" i="30"/>
  <c r="T19" i="30" s="1"/>
  <c r="K38" i="30"/>
  <c r="S26" i="30" l="1"/>
  <c r="T26" i="30" s="1"/>
  <c r="N28" i="30"/>
  <c r="O28" i="30" s="1"/>
  <c r="N26" i="30"/>
  <c r="O26" i="30" s="1"/>
  <c r="N24" i="30"/>
  <c r="O24" i="30" s="1"/>
  <c r="T20" i="30"/>
  <c r="T24" i="30"/>
  <c r="H136" i="29"/>
  <c r="H138" i="29"/>
  <c r="H128" i="29"/>
  <c r="H126" i="29"/>
  <c r="H125" i="29"/>
  <c r="H124" i="29"/>
  <c r="H110" i="29"/>
  <c r="H107" i="29"/>
  <c r="H106" i="29"/>
  <c r="H105" i="29"/>
  <c r="H99" i="29"/>
  <c r="H92" i="29"/>
  <c r="H91" i="29"/>
  <c r="H89" i="29"/>
  <c r="H88" i="29"/>
  <c r="H86" i="29"/>
  <c r="H84" i="29"/>
  <c r="H83" i="29"/>
  <c r="H82" i="29"/>
  <c r="H81" i="29"/>
  <c r="H37" i="29"/>
  <c r="H36" i="29"/>
  <c r="H35" i="29"/>
  <c r="H34" i="29"/>
  <c r="T28" i="30" l="1"/>
  <c r="D24" i="28" l="1"/>
  <c r="H169" i="28" l="1"/>
  <c r="H162" i="28" l="1"/>
  <c r="H167" i="28"/>
  <c r="H159" i="28"/>
  <c r="H225" i="28" l="1"/>
  <c r="H224" i="28"/>
  <c r="H223" i="28"/>
  <c r="H220" i="28"/>
  <c r="H219" i="28"/>
  <c r="H218" i="28"/>
  <c r="H216" i="28"/>
  <c r="H208" i="28"/>
  <c r="H207" i="28"/>
  <c r="H190" i="28"/>
  <c r="H189" i="28"/>
  <c r="H187" i="28"/>
  <c r="H186" i="28"/>
  <c r="H185" i="28"/>
  <c r="H184" i="28"/>
  <c r="H183" i="28"/>
  <c r="H182" i="28"/>
  <c r="H181" i="28"/>
  <c r="H175" i="28"/>
  <c r="H174" i="28"/>
  <c r="H172" i="28"/>
  <c r="H168" i="28"/>
  <c r="H166" i="28"/>
  <c r="H165" i="28"/>
  <c r="H163" i="28"/>
  <c r="H158" i="28"/>
  <c r="H156" i="28"/>
  <c r="H152" i="28"/>
  <c r="H151" i="28"/>
  <c r="H144" i="28"/>
  <c r="H143" i="28"/>
  <c r="H142" i="28"/>
  <c r="H141" i="28"/>
  <c r="H140" i="28"/>
  <c r="H139" i="28"/>
  <c r="H138" i="28"/>
  <c r="H134" i="28"/>
  <c r="H132" i="28"/>
  <c r="H129" i="28"/>
  <c r="H128" i="28"/>
  <c r="H123" i="28"/>
  <c r="H125" i="28"/>
  <c r="H124" i="28"/>
  <c r="H120" i="28"/>
  <c r="H98" i="28"/>
  <c r="H88" i="28"/>
  <c r="H87" i="28"/>
  <c r="H69" i="28"/>
  <c r="H54" i="28"/>
  <c r="H53" i="28"/>
  <c r="H51" i="28"/>
  <c r="H46" i="28" l="1"/>
  <c r="H228" i="28" s="1"/>
</calcChain>
</file>

<file path=xl/sharedStrings.xml><?xml version="1.0" encoding="utf-8"?>
<sst xmlns="http://schemas.openxmlformats.org/spreadsheetml/2006/main" count="851" uniqueCount="408">
  <si>
    <t>ADET</t>
  </si>
  <si>
    <t>Adet</t>
  </si>
  <si>
    <t>2 x 1.5</t>
  </si>
  <si>
    <t>L : 4000</t>
  </si>
  <si>
    <t>TEMİZ SU BORUSU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</si>
  <si>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</si>
  <si>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</si>
  <si>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</si>
  <si>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</si>
  <si>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</si>
  <si>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</si>
  <si>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İZOLE BANT</t>
  </si>
  <si>
    <t>PREFABRİK PENCERELER ( 4.8 x 70 )</t>
  </si>
  <si>
    <t>Silikonize Mastik</t>
  </si>
  <si>
    <t>3 x 2.5</t>
  </si>
  <si>
    <t xml:space="preserve"> AMPUL</t>
  </si>
  <si>
    <t>Poliüretan Köpük</t>
  </si>
  <si>
    <t xml:space="preserve"> YUVARLAK GLOP </t>
  </si>
  <si>
    <t xml:space="preserve">SİGORTA KUTUSU </t>
  </si>
  <si>
    <t>W OTOMAT (SİGORTA)</t>
  </si>
  <si>
    <t xml:space="preserve">BUAT KASA </t>
  </si>
  <si>
    <t>OSB VE YALIPAN ( 3.9 x 32)</t>
  </si>
  <si>
    <t>L:2800</t>
  </si>
  <si>
    <t>8 Lİ</t>
  </si>
  <si>
    <t>KG</t>
  </si>
  <si>
    <t>1200*2500</t>
  </si>
  <si>
    <t>TAVAN BEYAZ ALÇIPAN</t>
  </si>
  <si>
    <t>UYDU KABLO</t>
  </si>
  <si>
    <t>METRE</t>
  </si>
  <si>
    <t>ALÇIPAN VİDASI  ( 3.5 x 35 )</t>
  </si>
  <si>
    <t>RYSB PUL BAŞLI  ( 3.9 x 32 )</t>
  </si>
  <si>
    <t>ÇELİK PANEL GRUBU</t>
  </si>
  <si>
    <t>8 LİK TRAPEZ UÇ</t>
  </si>
  <si>
    <t>PH2 UÇ</t>
  </si>
  <si>
    <t>230 LUK KESME TAŞI</t>
  </si>
  <si>
    <t>TAVAN YEŞİL ALÇIPAN</t>
  </si>
  <si>
    <t>Paket / 8,64 m²</t>
  </si>
  <si>
    <t>TİJLİ DUY</t>
  </si>
  <si>
    <t>KAPI VE PENCERE GRUBU</t>
  </si>
  <si>
    <t>ELEKTRİK GRUBU</t>
  </si>
  <si>
    <t>VİDA GRUBU</t>
  </si>
  <si>
    <t>L:3000</t>
  </si>
  <si>
    <t>İNİŞ KELEPÇESİ</t>
  </si>
  <si>
    <t>BOYA GRUBU</t>
  </si>
  <si>
    <t>ÇATI ŞİLTESİ 80mm</t>
  </si>
  <si>
    <t xml:space="preserve"> DUVAR ALÇIPAN YEŞİL </t>
  </si>
  <si>
    <t>MELAMİN KAPI ( 80 LİK KANAT )</t>
  </si>
  <si>
    <t>L:4000</t>
  </si>
  <si>
    <t>1220*2440</t>
  </si>
  <si>
    <t>9,6 M2/ADET</t>
  </si>
  <si>
    <t>DERE KELEPÇESİ</t>
  </si>
  <si>
    <t>MÜŞTERİ AD SOYAD</t>
  </si>
  <si>
    <t>SEVKİYAT YERİ</t>
  </si>
  <si>
    <t>HAZIRLANMA BİLGİLERİ</t>
  </si>
  <si>
    <t>HAZIRLAYAN</t>
  </si>
  <si>
    <t>TARİH</t>
  </si>
  <si>
    <t>KONTROL</t>
  </si>
  <si>
    <t>İLETİŞİM NUMARASI</t>
  </si>
  <si>
    <t>BOYUT</t>
  </si>
  <si>
    <t>MAKİNE</t>
  </si>
  <si>
    <t>METAL AKSAM GRUBU</t>
  </si>
  <si>
    <t>DIŞ CEPHE KAPLAMA GRUBU</t>
  </si>
  <si>
    <t>İÇ CEPHE KAPLAMA GRUBU</t>
  </si>
  <si>
    <t>ÇATI KAPLAMALARI GRUBU</t>
  </si>
  <si>
    <t>NET ALAN</t>
  </si>
  <si>
    <t>BRÜT ALAN</t>
  </si>
  <si>
    <t>SIHHİ TESİSAT GRUBU</t>
  </si>
  <si>
    <t>DERE GRUBU</t>
  </si>
  <si>
    <t>BİNA M2 / KAT ADEDİ / KAT YÜKSEKLİĞİ</t>
  </si>
  <si>
    <t xml:space="preserve">BOYUT </t>
  </si>
  <si>
    <t>LOFTEV YÜKLEME LİSTESİ</t>
  </si>
  <si>
    <t>L:3750</t>
  </si>
  <si>
    <t>ŞASE PUL</t>
  </si>
  <si>
    <t>ÇELİK DÜBEL ( KLİPSLİ )</t>
  </si>
  <si>
    <t>BİRİM FİYAT</t>
  </si>
  <si>
    <t xml:space="preserve">KÖŞEBENT </t>
  </si>
  <si>
    <t>L:2500</t>
  </si>
  <si>
    <t>60 LIK TAVAN OMEGASI ( TERS TAVAN )</t>
  </si>
  <si>
    <t>TOPLAM</t>
  </si>
  <si>
    <t xml:space="preserve">GENEL TOPLAM </t>
  </si>
  <si>
    <t>UZUNLUK</t>
  </si>
  <si>
    <t>90*214</t>
  </si>
  <si>
    <t>90*210</t>
  </si>
  <si>
    <t xml:space="preserve"> DUVAR ALÇIPAN BEYAZ</t>
  </si>
  <si>
    <t>16  Amper</t>
  </si>
  <si>
    <t>100*2500</t>
  </si>
  <si>
    <t>SATIŞ TEMSİLCİSİ</t>
  </si>
  <si>
    <t>KÖŞEBENT</t>
  </si>
  <si>
    <t>60'LIK DUVAR OMEGASI</t>
  </si>
  <si>
    <t>60*3750</t>
  </si>
  <si>
    <t>100'LÜK SAÇAK OMEGASI</t>
  </si>
  <si>
    <t>1250*2500</t>
  </si>
  <si>
    <t>TEK</t>
  </si>
  <si>
    <t xml:space="preserve"> ÜRETİM PERSONELİ YÜKLEME </t>
  </si>
  <si>
    <t>100'LÜK DUVAR OMEGASI</t>
  </si>
  <si>
    <t>L:1000</t>
  </si>
  <si>
    <t>70 MM PVC DERE İNİŞ BORUSU</t>
  </si>
  <si>
    <t>L:2000</t>
  </si>
  <si>
    <t>SORUMLI ÜRETİM PERSONELİ AD SOYAD</t>
  </si>
  <si>
    <t xml:space="preserve">  İMZA </t>
  </si>
  <si>
    <t>DEPO GRUBU</t>
  </si>
  <si>
    <t xml:space="preserve"> ÜRETİM PERSONELİ YÜKLEME KONTROL</t>
  </si>
  <si>
    <t>GENEL KONTROL ONAY VEREN</t>
  </si>
  <si>
    <t>SEDAT BALABAN</t>
  </si>
  <si>
    <t>İMZA</t>
  </si>
  <si>
    <t xml:space="preserve">ZEMİN KAT DIŞ CEPHE DUVAR PANELLERİ </t>
  </si>
  <si>
    <t>140X45X10X1,2</t>
  </si>
  <si>
    <t xml:space="preserve">ZEMİN KAT İÇ CEPHE DUVAR PANELLERİ </t>
  </si>
  <si>
    <t>80X45X10X1.2</t>
  </si>
  <si>
    <t>80X45X10X0,8</t>
  </si>
  <si>
    <t>80X45X10X1,2</t>
  </si>
  <si>
    <t>ÇATI MAKAS PANELLERİ</t>
  </si>
  <si>
    <t>DIŞ CEPHE BOARDEX</t>
  </si>
  <si>
    <t xml:space="preserve">AŞIK </t>
  </si>
  <si>
    <t>ALAN</t>
  </si>
  <si>
    <t>BOY</t>
  </si>
  <si>
    <t>İÇ CEPHE DUVAR</t>
  </si>
  <si>
    <t>NET</t>
  </si>
  <si>
    <t xml:space="preserve">DUVAR İZOLASYONU (KNAUF IBP037) </t>
  </si>
  <si>
    <t>BAŞ MAKAS Z Sİ</t>
  </si>
  <si>
    <t>SAÇAK OMEGASI</t>
  </si>
  <si>
    <t>KUTU PROFİL KOLON ( FLANŞLI )</t>
  </si>
  <si>
    <t>DIŞ CEPHE BETOPAN</t>
  </si>
  <si>
    <t>8*1200*2400</t>
  </si>
  <si>
    <t xml:space="preserve">DIŞ CEPHE YALIPAN </t>
  </si>
  <si>
    <t xml:space="preserve">0.43 M2 / ADET </t>
  </si>
  <si>
    <t>MAKAS GRUBU</t>
  </si>
  <si>
    <t>İZFORM</t>
  </si>
  <si>
    <t>140X45X10X0,8</t>
  </si>
  <si>
    <t>BACA PANELLERİ</t>
  </si>
  <si>
    <t>KİRİŞ PANELİ</t>
  </si>
  <si>
    <t>VERANDA PANELİ</t>
  </si>
  <si>
    <t>MEMBRAN</t>
  </si>
  <si>
    <t xml:space="preserve">ADET/8 M2 </t>
  </si>
  <si>
    <t>120/180</t>
  </si>
  <si>
    <t>60/40</t>
  </si>
  <si>
    <t>120/100</t>
  </si>
  <si>
    <t>240/200</t>
  </si>
  <si>
    <t>L:</t>
  </si>
  <si>
    <t>L: 2800</t>
  </si>
  <si>
    <t>3 x 1.5</t>
  </si>
  <si>
    <t xml:space="preserve">KÖŞE LATASI </t>
  </si>
  <si>
    <t>PENCERE LATASI</t>
  </si>
  <si>
    <t>150*250</t>
  </si>
  <si>
    <t>130*250</t>
  </si>
  <si>
    <t xml:space="preserve">PARÇA C PROFİL </t>
  </si>
  <si>
    <t>BACA KÖR TAPA</t>
  </si>
  <si>
    <t xml:space="preserve">BACA T Sİ </t>
  </si>
  <si>
    <t>BACA BORUSU (13 CM ÇAP)</t>
  </si>
  <si>
    <t>BACA ŞAPKASI (40X40)</t>
  </si>
  <si>
    <t xml:space="preserve">PROFİL VİDALAMA APARATI </t>
  </si>
  <si>
    <t xml:space="preserve">( RENK ) METAL DERE </t>
  </si>
  <si>
    <t>(RENK) METAL DERE İNİŞ BORUSU</t>
  </si>
  <si>
    <t>UYDU  PRİZİ ( TAKIM )</t>
  </si>
  <si>
    <t>TEKLİ ANAHTAR ( TAKIM )</t>
  </si>
  <si>
    <t>SHİNGLE (RENK)</t>
  </si>
  <si>
    <t xml:space="preserve">(RENK) ÖZEL MAHYA GENİŞ OLAN </t>
  </si>
  <si>
    <t xml:space="preserve">(RENK) TERS MAHYA </t>
  </si>
  <si>
    <t>(RENK) TRAPEZ SAC MAHYASI</t>
  </si>
  <si>
    <t>(RENK)TEK KAT PANEL ( 87 CM KAPATIR )</t>
  </si>
  <si>
    <t>(RENK) METAL KİREMİT MAHYASI</t>
  </si>
  <si>
    <t>(RENK)SANDVİÇ PANEL ( 100 CM KAPATIR )</t>
  </si>
  <si>
    <t xml:space="preserve">ADET  </t>
  </si>
  <si>
    <t>NYM KABLO (3 x 2.5)</t>
  </si>
  <si>
    <t>NYM KABLO (2 x 1.5)</t>
  </si>
  <si>
    <t>ÇİFTLİ ANAHTAR ( TAKIM )</t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</si>
  <si>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</si>
  <si>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</si>
  <si>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</si>
  <si>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</si>
  <si>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</si>
  <si>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</si>
  <si>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</si>
  <si>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</si>
  <si>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</si>
  <si>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</si>
  <si>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</si>
  <si>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</si>
  <si>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</si>
  <si>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</si>
  <si>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PENCERE ALT PANEL (120/180)</t>
  </si>
  <si>
    <t>100x1250x200</t>
  </si>
  <si>
    <t>KÖŞE DİREĞİ</t>
  </si>
  <si>
    <t>100x100x2500</t>
  </si>
  <si>
    <t>60x60x2500</t>
  </si>
  <si>
    <t xml:space="preserve">KUTU PROFİL  (KİRİŞ) </t>
  </si>
  <si>
    <t>100*100*2500</t>
  </si>
  <si>
    <t>PROFİL VİDALAMA APARATI</t>
  </si>
  <si>
    <t>H ( DÜBELLİ&amp;KULAKLI)</t>
  </si>
  <si>
    <t>H ( DÜBELLİ )</t>
  </si>
  <si>
    <t>H (  STANDART )</t>
  </si>
  <si>
    <t>60*60*2500</t>
  </si>
  <si>
    <t xml:space="preserve"> 3 LÜ H ( DÜBELLİ VE KULAKLI)</t>
  </si>
  <si>
    <t>100*100*60*2500</t>
  </si>
  <si>
    <t xml:space="preserve"> 3 LÜ H ( DÜBELLİ )</t>
  </si>
  <si>
    <t>3 LÜ H (  STANDART )</t>
  </si>
  <si>
    <t>ÇEKTİRME U'SU (60 LIK)</t>
  </si>
  <si>
    <t>60*2440</t>
  </si>
  <si>
    <t>ÇEKTİRME U'SU (100 LÜK)</t>
  </si>
  <si>
    <t>100*2440</t>
  </si>
  <si>
    <t>100'LÜK PENCERE U SU H GEÇEN</t>
  </si>
  <si>
    <t>BAŞ MAKAS OMEGASI</t>
  </si>
  <si>
    <t>BAŞ MAKAS Z'Sİ</t>
  </si>
  <si>
    <t>BAŞ MAKAS BETOPANI</t>
  </si>
  <si>
    <t>100'LÜK ALT ÇERÇEVE</t>
  </si>
  <si>
    <t>100*3750</t>
  </si>
  <si>
    <t>60'LIK ALT ÇERÇEVE</t>
  </si>
  <si>
    <t>AŞIK</t>
  </si>
  <si>
    <t>L:500</t>
  </si>
  <si>
    <t>60X3000</t>
  </si>
  <si>
    <t xml:space="preserve">ÇELİK DÜBEL </t>
  </si>
  <si>
    <t>KARKASLI ÇELİK KAPI PANOSU</t>
  </si>
  <si>
    <t xml:space="preserve">60'LIK KARKASLI +KASALI  PANOLAR                </t>
  </si>
  <si>
    <t>90*200</t>
  </si>
  <si>
    <t>82*196</t>
  </si>
  <si>
    <t>PVC PLASTİK BETOPAN H' I</t>
  </si>
  <si>
    <t>16 MM BETOPAN VE KAPI KOLLARI ( 3.9 x 32)</t>
  </si>
  <si>
    <t>(RENK) METAL KİREMİT  ( 110 CM KAPATIR )</t>
  </si>
  <si>
    <t xml:space="preserve">KUBBE ANTRASİT SHİNGLE </t>
  </si>
  <si>
    <t>PAKET</t>
  </si>
  <si>
    <t xml:space="preserve">ANTRASİT GRİ KUBBE SAÇAK SACI </t>
  </si>
  <si>
    <t>170*1500</t>
  </si>
  <si>
    <t>OSB MAHYASI</t>
  </si>
  <si>
    <t>TEKLİ PRİZ ( TAKIM )</t>
  </si>
  <si>
    <t>ÇİFTLİ PRİZ (TAKIM)</t>
  </si>
  <si>
    <t>60x1190x2500</t>
  </si>
  <si>
    <t>DIŞ CEPHE</t>
  </si>
  <si>
    <t>İÇ CEPHE</t>
  </si>
  <si>
    <t>KAT YÜKSEKLİĞİ</t>
  </si>
  <si>
    <t>ZEMİN KAT</t>
  </si>
  <si>
    <t>DÖŞEME</t>
  </si>
  <si>
    <t>1. KAT</t>
  </si>
  <si>
    <t>BRÜT ALAN:</t>
  </si>
  <si>
    <t>PENCERE/KAPI BOŞLUKLARI</t>
  </si>
  <si>
    <t>EN</t>
  </si>
  <si>
    <t>YÜZEY</t>
  </si>
  <si>
    <t>TOPLAM:</t>
  </si>
  <si>
    <t>YÜKSEKLİĞİ</t>
  </si>
  <si>
    <t>ALIN ALANI 1</t>
  </si>
  <si>
    <t>ALIN ALANI 2</t>
  </si>
  <si>
    <t>ALIN ALANI 3</t>
  </si>
  <si>
    <t>ZEMİN KAT (BEYAZ)</t>
  </si>
  <si>
    <t>ZEMİN KAT (YEŞİL)</t>
  </si>
  <si>
    <t>1. KAT (BEYAZ)</t>
  </si>
  <si>
    <t>1. KAT (YEŞİL)</t>
  </si>
  <si>
    <t>KAT</t>
  </si>
  <si>
    <t>ZEMİN</t>
  </si>
  <si>
    <t>ODA TİPİ</t>
  </si>
  <si>
    <t>YEŞİL</t>
  </si>
  <si>
    <t>BEYAZ</t>
  </si>
  <si>
    <t>1.Kat Yüksekliği</t>
  </si>
  <si>
    <t xml:space="preserve">BRÜT </t>
  </si>
  <si>
    <t>Duvar Alçıpan (Beyaz)</t>
  </si>
  <si>
    <t>Duvar Alçıpan (Yeşil)</t>
  </si>
  <si>
    <t>Zemin Kat Yüksekliği</t>
  </si>
  <si>
    <t>TOPLAM BOŞLUK:</t>
  </si>
  <si>
    <t>TOPLAM BEYAZ ALAN BOŞLUĞU</t>
  </si>
  <si>
    <t>TOPLAM YEŞİL ALAN BOŞLUĞU</t>
  </si>
  <si>
    <t>ÇEVRE UZ.</t>
  </si>
  <si>
    <t>DIŞ CEPHE KOLON/KİRİŞ</t>
  </si>
  <si>
    <t>İÇ CEPHE KOLON/KİRİŞ</t>
  </si>
  <si>
    <t>YEŞİL ALAN PENCERE/KAPI BOŞLUKLARI</t>
  </si>
  <si>
    <t>BEYAZ ALAN PENCERE/KAPI BOŞLUKLARI</t>
  </si>
  <si>
    <t>Duvar OSB</t>
  </si>
  <si>
    <t>TOPLAM EK ALAN:</t>
  </si>
  <si>
    <t>Dış Cephe Boardex</t>
  </si>
  <si>
    <t>TOPLAM ALIN:</t>
  </si>
  <si>
    <t>Dekoratif Sıva</t>
  </si>
  <si>
    <t>Dış Cephe Betopan</t>
  </si>
  <si>
    <t>KAÇAK AKIM RÖLESİ</t>
  </si>
  <si>
    <t>L:4200</t>
  </si>
  <si>
    <t xml:space="preserve">TOPLAM </t>
  </si>
  <si>
    <t xml:space="preserve">ÇATI İZOLASYONU (KNAUF IBP037) </t>
  </si>
  <si>
    <t>PVC PENCERE+ PERVAZ +MATİK+ ANTRASİT+ ÇİFT AÇILIM</t>
  </si>
  <si>
    <t>PVC PENCERE+ PERVAZ+MATİK+ ANTRASİT+ ÇİFT AÇILIM</t>
  </si>
  <si>
    <t>PVC PENCERE+ PERVAZ+ MATİK+ ANTRASİT+ SÜRGÜLÜ+</t>
  </si>
  <si>
    <t>PVC VASİSTAS+ANTRASİT+</t>
  </si>
  <si>
    <t>İNOX TAŞ</t>
  </si>
  <si>
    <t>ÇIRPI İPİ</t>
  </si>
  <si>
    <t>( RENK ) SIFIR SAÇAK SACI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</si>
  <si>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</si>
  <si>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NYM KABLO (3 x 1.5) </t>
    </r>
    <r>
      <rPr>
        <b/>
        <sz val="8"/>
        <color theme="1"/>
        <rFont val="Arial"/>
        <family val="2"/>
        <charset val="162"/>
      </rPr>
      <t>(VAVİEN)</t>
    </r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</si>
  <si>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</si>
  <si>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 xml:space="preserve"> </t>
  </si>
  <si>
    <t>ZİL</t>
  </si>
  <si>
    <t xml:space="preserve">DÖŞEME İZOLASYONU (KNAUF IBP037) </t>
  </si>
  <si>
    <t>KAPALI DİRSEK</t>
  </si>
  <si>
    <t>AMPUL</t>
  </si>
  <si>
    <t>(RENK)SANDVİÇ PANEL KAPAMASI</t>
  </si>
  <si>
    <t>L: 2500</t>
  </si>
  <si>
    <t>(RENK)TEK KAT PANEL PANEL KAPAMASI</t>
  </si>
  <si>
    <t>Tek kat için 5 metre</t>
  </si>
  <si>
    <t>BESLEME KABLO BORUSU</t>
  </si>
  <si>
    <t>( RENK )SAÇAK SACI (30'LUK)</t>
  </si>
  <si>
    <t>Dayson</t>
  </si>
  <si>
    <t>GENİŞ SAÇAK OMEGASI</t>
  </si>
  <si>
    <t>180*2500</t>
  </si>
  <si>
    <t>60*2500</t>
  </si>
  <si>
    <t>( RENK ) ALIN SACI (30 LUK)</t>
  </si>
  <si>
    <t xml:space="preserve">SAÇAK Z Sİ </t>
  </si>
  <si>
    <t xml:space="preserve">YÜKSEK TAVANLAR SAÇAKLARI İÇİN  </t>
  </si>
  <si>
    <t>300*2500</t>
  </si>
  <si>
    <t>İKİSİNDEN BİRİ OLUR</t>
  </si>
  <si>
    <t>5,5 x 25 (TRAPEZ VİDA)</t>
  </si>
  <si>
    <t>ADET/1</t>
  </si>
  <si>
    <t>Bina Toplam adet</t>
  </si>
  <si>
    <t>vida sayısı</t>
  </si>
  <si>
    <t>AŞIK (420)</t>
  </si>
  <si>
    <t>OMEGA (240)</t>
  </si>
  <si>
    <t>OMEGA (375)</t>
  </si>
  <si>
    <t>ÇELİK PANEL</t>
  </si>
  <si>
    <t>KÖŞEBENT (240 )</t>
  </si>
  <si>
    <t>70 m2: 500 adet</t>
  </si>
  <si>
    <t>100 m2: 750 adet</t>
  </si>
  <si>
    <t>1 (Alçıpan+Boardex) için 40 adet</t>
  </si>
  <si>
    <t>OSB / YALIPAN / BETOPAN ( 3.9 x 32)</t>
  </si>
  <si>
    <t>1 OSB için 40 adet</t>
  </si>
  <si>
    <t>1 Yalıpan için 8 adet + 1 Priz için 4 adet + 1 Saçak sacı için 4 adet , 1 Dere KELEPÇEİ için 3 tane</t>
  </si>
  <si>
    <t>1 pencere için 20 adet</t>
  </si>
  <si>
    <r>
      <t xml:space="preserve">5,5 x 25 (TRAPEZ VİDA) </t>
    </r>
    <r>
      <rPr>
        <b/>
        <sz val="8"/>
        <rFont val="Arial"/>
        <family val="2"/>
        <charset val="162"/>
      </rPr>
      <t>(AŞIK+OMEGA+KÖŞEBENT)</t>
    </r>
  </si>
  <si>
    <t xml:space="preserve">Çatı panellerin delik aşıklara montajında kullanılır. Metalin metale, metalin tahtaya veya tahtanın tahtaya montajında; dış yüzey ve çatı gibi bölgelerde kullanılır. </t>
  </si>
  <si>
    <t>Omega+köşebent+çelik paneller.. Çeliğin çelikle birleştiği her noktada kullanılır.</t>
  </si>
  <si>
    <t>Tek Kat Panel</t>
  </si>
  <si>
    <t>Duvar Panellerinin betona sabitlrnmesi için kullanılan bağlantı elemanıdır.</t>
  </si>
  <si>
    <t>Orta uzunluktki bir Duvar Paneli için 3 adet yeterlidir.</t>
  </si>
  <si>
    <t>Çelik dübel başlıklarına takılan puldur.</t>
  </si>
  <si>
    <t>Çelik Dübel sayısına eşittir.</t>
  </si>
  <si>
    <t>İNOX TAŞI</t>
  </si>
  <si>
    <t>Metal kesme diskleridir.</t>
  </si>
  <si>
    <t>Bina m2/10 adedi uygundur.</t>
  </si>
  <si>
    <t>INOX TAŞI / 2</t>
  </si>
  <si>
    <t>SAÇAKLAR İÇİN BOARDEX</t>
  </si>
  <si>
    <t>KUTU PROFİL KİRİŞ t:3 mm</t>
  </si>
  <si>
    <t>DIŞ CEPHE BETOPAN 30 CM LİK</t>
  </si>
  <si>
    <t>DIŞ CEPHE BETOPAN 10 CM LİK</t>
  </si>
  <si>
    <t>RG MODERNDE KOLON VE KİRİŞLER İÇİN</t>
  </si>
  <si>
    <t>RG MODERNDE KOLON KİRİŞ VE PENCERE İÇLERİ İÇİN</t>
  </si>
  <si>
    <t>KUBBE ÜSTÜ MEMBRAN</t>
  </si>
  <si>
    <t xml:space="preserve"> İÇ DUVAR OSB (TV, KLİMA VE MUTFAK DOLABI ARKASI ) 9 mm</t>
  </si>
  <si>
    <t>MERDİVEN BETOPANI 16mm</t>
  </si>
  <si>
    <t>DÖŞEME BETOPANI 16mm</t>
  </si>
  <si>
    <t>DUVAR İZOLASYONU TAŞ YÜNÜ</t>
  </si>
  <si>
    <t>MEMBRAN (BALKON DÖŞEME İZOLASYONU)</t>
  </si>
  <si>
    <t>Pkt / 8 m2</t>
  </si>
  <si>
    <t xml:space="preserve">( RENK ) SIFIR ALIN SACI </t>
  </si>
  <si>
    <t>( RENK ) ÖZEL BÜKÜM ALIN SACI</t>
  </si>
  <si>
    <t>OSB 11mm</t>
  </si>
  <si>
    <t>KUBBE OSB 11mm</t>
  </si>
  <si>
    <t>DUŞAKABİN</t>
  </si>
  <si>
    <t>TAKIM</t>
  </si>
  <si>
    <t>KLOZET</t>
  </si>
  <si>
    <t>AYAKLI LAVABO</t>
  </si>
  <si>
    <t>BANYO DOLABI</t>
  </si>
  <si>
    <t>125 LİK MEKANİK HAVALANDIRMA</t>
  </si>
  <si>
    <t>125 LİK PİMAŞ (BANYO HAVALANDIRMASI)</t>
  </si>
  <si>
    <t>HAVALANDIRMA MENFEZİ</t>
  </si>
  <si>
    <t>%8 ZAİYAT</t>
  </si>
  <si>
    <t>%5 ZAİYAT</t>
  </si>
  <si>
    <t>PVC İNİŞ KELEPÇESİ</t>
  </si>
  <si>
    <t>FİYATLANDIRMA</t>
  </si>
  <si>
    <t>SADECE FİYATLANDIRMA İÇİN SİSTEME GİRİLECEK</t>
  </si>
  <si>
    <t>VERANDA</t>
  </si>
  <si>
    <t>BALKON</t>
  </si>
  <si>
    <t xml:space="preserve">TOPLAM ÇEVRE </t>
  </si>
  <si>
    <t>TAVAN ALÇIPAN</t>
  </si>
  <si>
    <t>TOPLAM UZ.</t>
  </si>
  <si>
    <r>
      <t xml:space="preserve">KOMPOZİT ÇELİK KAPI ( </t>
    </r>
    <r>
      <rPr>
        <b/>
        <sz val="12"/>
        <color rgb="FFFF0000"/>
        <rFont val="Arial"/>
        <family val="2"/>
        <charset val="162"/>
      </rPr>
      <t>YÖN</t>
    </r>
    <r>
      <rPr>
        <b/>
        <sz val="12"/>
        <color theme="1"/>
        <rFont val="Arial"/>
        <family val="2"/>
        <charset val="162"/>
      </rPr>
      <t xml:space="preserve"> )</t>
    </r>
  </si>
  <si>
    <t>AMERİKAN  KAPI ( 80 LİK KANAT ) (SOL)</t>
  </si>
  <si>
    <t>AMERİKAN  KAPI ( 80 LİK KANAT ) (SAĞ)</t>
  </si>
  <si>
    <t>BACA İZOLASYON BANDI</t>
  </si>
  <si>
    <t>NEM BARİYERİ</t>
  </si>
  <si>
    <t>M2</t>
  </si>
  <si>
    <t>(RENK) DERE KAPAĞI</t>
  </si>
  <si>
    <t>(RENK )TRAPEZ SAC (100 CM KAPATIR )</t>
  </si>
  <si>
    <t>(RENK) AÇIK DİRSEK</t>
  </si>
  <si>
    <t>(RENK) KAPALI DİRSEK</t>
  </si>
  <si>
    <t>ACİL MÜDAHELE KAPAĞI</t>
  </si>
  <si>
    <t>60*60*60*2500</t>
  </si>
  <si>
    <t xml:space="preserve">METAL DERE İNİŞİ APARATI </t>
  </si>
  <si>
    <t>METAL DERE İNİŞİ APARATI</t>
  </si>
  <si>
    <t>SEVİM GÜLER</t>
  </si>
  <si>
    <t>100x1150x2500</t>
  </si>
  <si>
    <t>60x1220x2500</t>
  </si>
  <si>
    <t>60x1200x2500</t>
  </si>
  <si>
    <t>60x605x2500</t>
  </si>
  <si>
    <t>60x495x2500</t>
  </si>
  <si>
    <t>100'LÜK ÇELİK KARKASLI YAPIŞTIRMA PENCERE PANOSU (160/180)</t>
  </si>
  <si>
    <t>100*2510*2500</t>
  </si>
  <si>
    <t>KUTU PROFİL (KOLON) (FLANŞLI)</t>
  </si>
  <si>
    <t>100*100*3140</t>
  </si>
  <si>
    <t>100*100*2990</t>
  </si>
  <si>
    <t>100*100*1110</t>
  </si>
  <si>
    <t>( ANTRASİT ) SAÇAK SACI (30'LUK)</t>
  </si>
  <si>
    <t>( ANTRASİT) ALIN SACI (30'LUK)</t>
  </si>
  <si>
    <t>(ANTRASİT) ÖZEL BÜKÜM SAÇ (DAMLALIK)</t>
  </si>
  <si>
    <t>(ANTRASİT)TEK KAT PANEL ( 87 CM KAPATIR )</t>
  </si>
  <si>
    <t>(ANTRASİT) METAL KİREMİT MAHYASI</t>
  </si>
  <si>
    <t>(ANTRASİT)TEK KAT PANEL PANEL KAPAMASI</t>
  </si>
  <si>
    <t>L:4450</t>
  </si>
  <si>
    <t>( ANTRASİT) METAL DERE</t>
  </si>
  <si>
    <t>( ANTRASİT )DERE KAPAĞI</t>
  </si>
  <si>
    <t>PVC AÇIK DİRSEK</t>
  </si>
  <si>
    <t>PVC KAPALI  DİRSEK</t>
  </si>
  <si>
    <r>
      <t xml:space="preserve">ÇELİK KAPI ( </t>
    </r>
    <r>
      <rPr>
        <b/>
        <sz val="12"/>
        <color rgb="FFFF0000"/>
        <rFont val="Arial"/>
        <family val="2"/>
        <charset val="162"/>
      </rPr>
      <t>SOL</t>
    </r>
    <r>
      <rPr>
        <b/>
        <sz val="12"/>
        <color theme="1"/>
        <rFont val="Arial"/>
        <family val="2"/>
        <charset val="162"/>
      </rPr>
      <t xml:space="preserve"> )</t>
    </r>
  </si>
  <si>
    <t>Dayson (SİYAH)</t>
  </si>
  <si>
    <t>ŞAFAK FİLİZ</t>
  </si>
  <si>
    <t>12 Lİ</t>
  </si>
  <si>
    <t>22.01.2026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</si>
</sst>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#,##0.00\ &quot;₺&quot;"/>
    <numFmt numFmtId="166" formatCode="00000"/>
    <numFmt numFmtId="167" formatCode="[$₺-41F]#,##0.00"/>
    <numFmt numFmtId="168" formatCode="&quot;₺&quot;#,##0.00"/>
    <numFmt numFmtId="169" formatCode="0.0"/>
  </numFmts>
  <fonts count="30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4"/>
      <color theme="1"/>
      <name val="Arial"/>
      <family val="2"/>
      <charset val="162"/>
    </font>
    <font>
      <b/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b/>
      <sz val="11"/>
      <name val="Arial"/>
      <family val="2"/>
      <charset val="162"/>
    </font>
    <font>
      <b/>
      <sz val="14"/>
      <color theme="3" tint="-0.249977111117893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9"/>
      <name val="Arial"/>
      <family val="2"/>
      <charset val="162"/>
    </font>
    <font>
      <b/>
      <sz val="12"/>
      <color rgb="FFFFFF00"/>
      <name val="Calibri"/>
      <family val="2"/>
      <charset val="162"/>
      <scheme val="minor"/>
    </font>
    <font>
      <b/>
      <sz val="12"/>
      <color rgb="FFFF0000"/>
      <name val="Arial"/>
      <family val="2"/>
      <charset val="162"/>
    </font>
    <font>
      <b/>
      <sz val="12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3CF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458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5" fillId="2" borderId="0" xfId="0" applyFont="1" applyFill="1"/>
    <xf numFmtId="1" fontId="3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165" fontId="8" fillId="2" borderId="2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5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2" borderId="1" xfId="2" applyNumberFormat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5" fillId="2" borderId="0" xfId="0" applyNumberFormat="1" applyFont="1" applyFill="1"/>
    <xf numFmtId="166" fontId="2" fillId="0" borderId="1" xfId="0" applyNumberFormat="1" applyFont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2" fontId="4" fillId="10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4" fillId="7" borderId="0" xfId="0" applyNumberFormat="1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right" vertical="center" wrapText="1"/>
    </xf>
    <xf numFmtId="165" fontId="2" fillId="2" borderId="3" xfId="0" applyNumberFormat="1" applyFont="1" applyFill="1" applyBorder="1" applyAlignment="1">
      <alignment horizontal="right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4" fontId="4" fillId="7" borderId="6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2" fillId="0" borderId="1" xfId="0" applyNumberFormat="1" applyFont="1" applyBorder="1" applyAlignment="1">
      <alignment horizontal="center" vertical="center" wrapText="1"/>
    </xf>
    <xf numFmtId="0" fontId="11" fillId="2" borderId="8" xfId="0" applyFont="1" applyFill="1" applyBorder="1"/>
    <xf numFmtId="167" fontId="5" fillId="2" borderId="20" xfId="0" applyNumberFormat="1" applyFont="1" applyFill="1" applyBorder="1"/>
    <xf numFmtId="164" fontId="2" fillId="1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/>
    <xf numFmtId="0" fontId="2" fillId="11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/>
    <xf numFmtId="168" fontId="5" fillId="3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 vertical="center" wrapText="1"/>
    </xf>
    <xf numFmtId="165" fontId="8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 wrapText="1"/>
    </xf>
    <xf numFmtId="164" fontId="2" fillId="12" borderId="1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2" fillId="12" borderId="6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168" fontId="5" fillId="2" borderId="0" xfId="0" applyNumberFormat="1" applyFont="1" applyFill="1"/>
    <xf numFmtId="0" fontId="2" fillId="11" borderId="22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5" fontId="8" fillId="2" borderId="21" xfId="0" applyNumberFormat="1" applyFont="1" applyFill="1" applyBorder="1" applyAlignment="1">
      <alignment horizontal="right" vertical="center" wrapText="1"/>
    </xf>
    <xf numFmtId="0" fontId="1" fillId="0" borderId="0" xfId="0" applyFont="1"/>
    <xf numFmtId="164" fontId="2" fillId="2" borderId="4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>
      <alignment horizontal="center" vertical="center" wrapText="1"/>
    </xf>
    <xf numFmtId="165" fontId="8" fillId="2" borderId="17" xfId="0" applyNumberFormat="1" applyFont="1" applyFill="1" applyBorder="1" applyAlignment="1">
      <alignment horizontal="right" vertical="center" wrapText="1"/>
    </xf>
    <xf numFmtId="165" fontId="2" fillId="2" borderId="21" xfId="0" applyNumberFormat="1" applyFont="1" applyFill="1" applyBorder="1" applyAlignment="1">
      <alignment horizontal="right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164" fontId="2" fillId="12" borderId="10" xfId="0" applyNumberFormat="1" applyFont="1" applyFill="1" applyBorder="1" applyAlignment="1">
      <alignment vertical="center" wrapText="1"/>
    </xf>
    <xf numFmtId="164" fontId="2" fillId="12" borderId="6" xfId="0" applyNumberFormat="1" applyFont="1" applyFill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6" xfId="0" applyBorder="1"/>
    <xf numFmtId="0" fontId="17" fillId="20" borderId="4" xfId="0" applyFont="1" applyFill="1" applyBorder="1"/>
    <xf numFmtId="0" fontId="17" fillId="20" borderId="26" xfId="0" applyFont="1" applyFill="1" applyBorder="1"/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0" borderId="1" xfId="0" applyFont="1" applyFill="1" applyBorder="1"/>
    <xf numFmtId="0" fontId="18" fillId="0" borderId="0" xfId="0" applyFont="1"/>
    <xf numFmtId="0" fontId="18" fillId="24" borderId="26" xfId="0" applyFont="1" applyFill="1" applyBorder="1"/>
    <xf numFmtId="0" fontId="18" fillId="16" borderId="1" xfId="0" applyFont="1" applyFill="1" applyBorder="1"/>
    <xf numFmtId="0" fontId="18" fillId="0" borderId="1" xfId="0" applyFont="1" applyBorder="1"/>
    <xf numFmtId="0" fontId="18" fillId="21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18" fillId="20" borderId="1" xfId="0" applyFont="1" applyFill="1" applyBorder="1"/>
    <xf numFmtId="0" fontId="18" fillId="24" borderId="28" xfId="0" applyFont="1" applyFill="1" applyBorder="1"/>
    <xf numFmtId="0" fontId="18" fillId="15" borderId="26" xfId="0" applyFont="1" applyFill="1" applyBorder="1"/>
    <xf numFmtId="0" fontId="18" fillId="22" borderId="29" xfId="0" applyFont="1" applyFill="1" applyBorder="1" applyAlignment="1">
      <alignment horizontal="right"/>
    </xf>
    <xf numFmtId="0" fontId="18" fillId="9" borderId="31" xfId="0" applyFont="1" applyFill="1" applyBorder="1"/>
    <xf numFmtId="0" fontId="18" fillId="9" borderId="26" xfId="0" applyFont="1" applyFill="1" applyBorder="1"/>
    <xf numFmtId="0" fontId="18" fillId="9" borderId="28" xfId="0" applyFont="1" applyFill="1" applyBorder="1"/>
    <xf numFmtId="0" fontId="18" fillId="20" borderId="26" xfId="0" applyFont="1" applyFill="1" applyBorder="1"/>
    <xf numFmtId="0" fontId="18" fillId="20" borderId="1" xfId="0" applyFont="1" applyFill="1" applyBorder="1" applyAlignment="1">
      <alignment horizontal="center"/>
    </xf>
    <xf numFmtId="0" fontId="18" fillId="20" borderId="27" xfId="0" applyFont="1" applyFill="1" applyBorder="1"/>
    <xf numFmtId="0" fontId="20" fillId="20" borderId="1" xfId="0" applyFont="1" applyFill="1" applyBorder="1"/>
    <xf numFmtId="0" fontId="20" fillId="20" borderId="31" xfId="0" applyFont="1" applyFill="1" applyBorder="1"/>
    <xf numFmtId="0" fontId="20" fillId="20" borderId="33" xfId="0" applyFont="1" applyFill="1" applyBorder="1"/>
    <xf numFmtId="0" fontId="18" fillId="16" borderId="26" xfId="0" applyFont="1" applyFill="1" applyBorder="1" applyAlignment="1">
      <alignment horizontal="right"/>
    </xf>
    <xf numFmtId="0" fontId="19" fillId="4" borderId="26" xfId="0" applyFont="1" applyFill="1" applyBorder="1" applyAlignment="1">
      <alignment horizontal="right"/>
    </xf>
    <xf numFmtId="0" fontId="18" fillId="22" borderId="28" xfId="0" applyFont="1" applyFill="1" applyBorder="1"/>
    <xf numFmtId="0" fontId="18" fillId="22" borderId="29" xfId="0" applyFont="1" applyFill="1" applyBorder="1"/>
    <xf numFmtId="0" fontId="18" fillId="0" borderId="0" xfId="0" applyFont="1" applyAlignment="1">
      <alignment vertical="center"/>
    </xf>
    <xf numFmtId="0" fontId="20" fillId="20" borderId="26" xfId="0" applyFont="1" applyFill="1" applyBorder="1"/>
    <xf numFmtId="0" fontId="18" fillId="20" borderId="23" xfId="0" applyFont="1" applyFill="1" applyBorder="1"/>
    <xf numFmtId="0" fontId="18" fillId="20" borderId="44" xfId="0" applyFont="1" applyFill="1" applyBorder="1"/>
    <xf numFmtId="0" fontId="18" fillId="0" borderId="26" xfId="0" applyFont="1" applyBorder="1"/>
    <xf numFmtId="0" fontId="18" fillId="16" borderId="26" xfId="0" applyFont="1" applyFill="1" applyBorder="1"/>
    <xf numFmtId="0" fontId="18" fillId="4" borderId="26" xfId="0" applyFont="1" applyFill="1" applyBorder="1"/>
    <xf numFmtId="0" fontId="18" fillId="0" borderId="1" xfId="0" applyFont="1" applyBorder="1" applyAlignment="1">
      <alignment horizontal="center" vertical="center"/>
    </xf>
    <xf numFmtId="0" fontId="18" fillId="28" borderId="30" xfId="0" applyFont="1" applyFill="1" applyBorder="1" applyAlignment="1">
      <alignment horizontal="center" vertical="center"/>
    </xf>
    <xf numFmtId="0" fontId="18" fillId="28" borderId="27" xfId="0" applyFont="1" applyFill="1" applyBorder="1" applyAlignment="1">
      <alignment horizontal="center"/>
    </xf>
    <xf numFmtId="0" fontId="18" fillId="28" borderId="30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11" borderId="27" xfId="0" applyFont="1" applyFill="1" applyBorder="1" applyAlignment="1">
      <alignment horizontal="center" vertical="center"/>
    </xf>
    <xf numFmtId="0" fontId="18" fillId="11" borderId="27" xfId="0" applyFont="1" applyFill="1" applyBorder="1" applyAlignment="1">
      <alignment horizontal="center"/>
    </xf>
    <xf numFmtId="0" fontId="18" fillId="0" borderId="29" xfId="0" applyFont="1" applyBorder="1"/>
    <xf numFmtId="0" fontId="18" fillId="22" borderId="28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26" xfId="0" applyFont="1" applyBorder="1" applyAlignment="1">
      <alignment horizontal="right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right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3" xfId="0" applyFont="1" applyBorder="1"/>
    <xf numFmtId="2" fontId="18" fillId="11" borderId="1" xfId="0" applyNumberFormat="1" applyFont="1" applyFill="1" applyBorder="1" applyAlignment="1">
      <alignment horizontal="center" vertical="center"/>
    </xf>
    <xf numFmtId="2" fontId="18" fillId="11" borderId="27" xfId="0" applyNumberFormat="1" applyFont="1" applyFill="1" applyBorder="1" applyAlignment="1">
      <alignment horizontal="center" vertical="center"/>
    </xf>
    <xf numFmtId="2" fontId="18" fillId="28" borderId="29" xfId="0" applyNumberFormat="1" applyFont="1" applyFill="1" applyBorder="1" applyAlignment="1">
      <alignment horizontal="center" vertical="center"/>
    </xf>
    <xf numFmtId="2" fontId="18" fillId="28" borderId="30" xfId="0" applyNumberFormat="1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vertical="center" wrapText="1"/>
    </xf>
    <xf numFmtId="165" fontId="8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23" xfId="0" applyBorder="1"/>
    <xf numFmtId="0" fontId="0" fillId="0" borderId="44" xfId="0" applyBorder="1"/>
    <xf numFmtId="0" fontId="0" fillId="0" borderId="20" xfId="0" applyBorder="1"/>
    <xf numFmtId="0" fontId="0" fillId="0" borderId="50" xfId="0" applyBorder="1"/>
    <xf numFmtId="0" fontId="13" fillId="0" borderId="44" xfId="0" applyFont="1" applyBorder="1" applyAlignment="1">
      <alignment horizontal="right"/>
    </xf>
    <xf numFmtId="0" fontId="2" fillId="15" borderId="8" xfId="0" applyFont="1" applyFill="1" applyBorder="1" applyAlignment="1">
      <alignment horizontal="center" vertical="center" wrapText="1"/>
    </xf>
    <xf numFmtId="164" fontId="2" fillId="12" borderId="8" xfId="0" applyNumberFormat="1" applyFont="1" applyFill="1" applyBorder="1" applyAlignment="1">
      <alignment horizontal="center" vertical="center" wrapText="1"/>
    </xf>
    <xf numFmtId="0" fontId="0" fillId="0" borderId="45" xfId="0" applyBorder="1"/>
    <xf numFmtId="0" fontId="13" fillId="0" borderId="50" xfId="0" applyFont="1" applyBorder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23" xfId="0" applyFont="1" applyBorder="1" applyAlignment="1">
      <alignment horizontal="left" vertical="center"/>
    </xf>
    <xf numFmtId="0" fontId="13" fillId="0" borderId="23" xfId="0" applyFont="1" applyBorder="1" applyAlignment="1">
      <alignment horizontal="left"/>
    </xf>
    <xf numFmtId="0" fontId="0" fillId="0" borderId="22" xfId="0" applyBorder="1"/>
    <xf numFmtId="0" fontId="13" fillId="0" borderId="20" xfId="0" applyFont="1" applyBorder="1"/>
    <xf numFmtId="0" fontId="1" fillId="0" borderId="45" xfId="0" applyFont="1" applyBorder="1"/>
    <xf numFmtId="0" fontId="1" fillId="0" borderId="20" xfId="0" applyFont="1" applyBorder="1"/>
    <xf numFmtId="0" fontId="22" fillId="0" borderId="0" xfId="0" applyFont="1" applyAlignment="1">
      <alignment horizontal="left" vertical="center"/>
    </xf>
    <xf numFmtId="0" fontId="1" fillId="0" borderId="22" xfId="0" applyFont="1" applyBorder="1"/>
    <xf numFmtId="0" fontId="1" fillId="0" borderId="25" xfId="0" applyFont="1" applyBorder="1"/>
    <xf numFmtId="0" fontId="2" fillId="25" borderId="1" xfId="0" applyFont="1" applyFill="1" applyBorder="1" applyAlignment="1">
      <alignment horizontal="center" vertical="center" wrapText="1"/>
    </xf>
    <xf numFmtId="164" fontId="2" fillId="25" borderId="17" xfId="0" applyNumberFormat="1" applyFont="1" applyFill="1" applyBorder="1" applyAlignment="1">
      <alignment horizontal="center" vertical="center" wrapText="1"/>
    </xf>
    <xf numFmtId="1" fontId="2" fillId="25" borderId="2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21" xfId="0" applyFont="1" applyFill="1" applyBorder="1" applyAlignment="1">
      <alignment vertical="center" wrapText="1"/>
    </xf>
    <xf numFmtId="0" fontId="2" fillId="25" borderId="17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vertical="center" wrapText="1"/>
    </xf>
    <xf numFmtId="0" fontId="26" fillId="25" borderId="21" xfId="0" applyFont="1" applyFill="1" applyBorder="1" applyAlignment="1">
      <alignment vertical="center" wrapText="1"/>
    </xf>
    <xf numFmtId="0" fontId="2" fillId="25" borderId="3" xfId="0" applyFont="1" applyFill="1" applyBorder="1" applyAlignment="1">
      <alignment vertical="center" wrapText="1"/>
    </xf>
    <xf numFmtId="2" fontId="2" fillId="25" borderId="2" xfId="0" applyNumberFormat="1" applyFont="1" applyFill="1" applyBorder="1" applyAlignment="1">
      <alignment horizontal="center" vertical="center" wrapText="1"/>
    </xf>
    <xf numFmtId="0" fontId="2" fillId="25" borderId="16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165" fontId="2" fillId="25" borderId="2" xfId="0" applyNumberFormat="1" applyFont="1" applyFill="1" applyBorder="1" applyAlignment="1">
      <alignment horizontal="right" vertical="center" wrapText="1"/>
    </xf>
    <xf numFmtId="0" fontId="2" fillId="25" borderId="2" xfId="0" applyFont="1" applyFill="1" applyBorder="1" applyAlignment="1">
      <alignment horizontal="left" vertical="center" wrapText="1"/>
    </xf>
    <xf numFmtId="164" fontId="2" fillId="25" borderId="2" xfId="0" applyNumberFormat="1" applyFont="1" applyFill="1" applyBorder="1" applyAlignment="1">
      <alignment horizontal="center" vertical="center" wrapText="1"/>
    </xf>
    <xf numFmtId="165" fontId="8" fillId="25" borderId="2" xfId="0" applyNumberFormat="1" applyFont="1" applyFill="1" applyBorder="1" applyAlignment="1">
      <alignment horizontal="right" vertical="center" wrapText="1"/>
    </xf>
    <xf numFmtId="165" fontId="8" fillId="25" borderId="17" xfId="0" applyNumberFormat="1" applyFont="1" applyFill="1" applyBorder="1" applyAlignment="1">
      <alignment horizontal="right" vertical="center" wrapText="1"/>
    </xf>
    <xf numFmtId="164" fontId="2" fillId="25" borderId="4" xfId="0" applyNumberFormat="1" applyFont="1" applyFill="1" applyBorder="1" applyAlignment="1">
      <alignment horizontal="center" vertical="center" wrapText="1"/>
    </xf>
    <xf numFmtId="2" fontId="2" fillId="25" borderId="17" xfId="0" applyNumberFormat="1" applyFont="1" applyFill="1" applyBorder="1" applyAlignment="1">
      <alignment horizontal="center" vertical="center" wrapText="1"/>
    </xf>
    <xf numFmtId="164" fontId="2" fillId="18" borderId="2" xfId="0" applyNumberFormat="1" applyFont="1" applyFill="1" applyBorder="1" applyAlignment="1">
      <alignment horizontal="center" vertical="center" wrapText="1"/>
    </xf>
    <xf numFmtId="165" fontId="2" fillId="18" borderId="3" xfId="0" applyNumberFormat="1" applyFont="1" applyFill="1" applyBorder="1" applyAlignment="1">
      <alignment horizontal="right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5" fontId="8" fillId="4" borderId="4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164" fontId="2" fillId="24" borderId="1" xfId="0" applyNumberFormat="1" applyFont="1" applyFill="1" applyBorder="1" applyAlignment="1">
      <alignment horizontal="center" vertical="center" wrapText="1"/>
    </xf>
    <xf numFmtId="164" fontId="2" fillId="24" borderId="17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2" fillId="25" borderId="0" xfId="0" applyNumberFormat="1" applyFont="1" applyFill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8" fillId="0" borderId="21" xfId="0" applyFont="1" applyBorder="1"/>
    <xf numFmtId="0" fontId="17" fillId="20" borderId="33" xfId="0" applyFont="1" applyFill="1" applyBorder="1"/>
    <xf numFmtId="0" fontId="20" fillId="20" borderId="32" xfId="0" applyFont="1" applyFill="1" applyBorder="1"/>
    <xf numFmtId="0" fontId="0" fillId="0" borderId="27" xfId="0" applyBorder="1"/>
    <xf numFmtId="0" fontId="0" fillId="0" borderId="30" xfId="0" applyBorder="1"/>
    <xf numFmtId="0" fontId="18" fillId="15" borderId="28" xfId="0" applyFont="1" applyFill="1" applyBorder="1"/>
    <xf numFmtId="0" fontId="0" fillId="20" borderId="26" xfId="0" applyFill="1" applyBorder="1"/>
    <xf numFmtId="0" fontId="18" fillId="4" borderId="28" xfId="0" applyFont="1" applyFill="1" applyBorder="1" applyAlignment="1">
      <alignment horizontal="right"/>
    </xf>
    <xf numFmtId="0" fontId="0" fillId="27" borderId="30" xfId="0" applyFill="1" applyBorder="1"/>
    <xf numFmtId="0" fontId="0" fillId="32" borderId="1" xfId="0" applyFill="1" applyBorder="1" applyAlignment="1">
      <alignment horizontal="center" vertical="center"/>
    </xf>
    <xf numFmtId="0" fontId="0" fillId="32" borderId="29" xfId="0" applyFill="1" applyBorder="1" applyAlignment="1">
      <alignment horizontal="center" vertical="center"/>
    </xf>
    <xf numFmtId="0" fontId="0" fillId="27" borderId="27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18" fillId="26" borderId="43" xfId="0" applyFont="1" applyFill="1" applyBorder="1" applyAlignment="1">
      <alignment vertical="center"/>
    </xf>
    <xf numFmtId="0" fontId="0" fillId="28" borderId="56" xfId="0" applyFill="1" applyBorder="1" applyAlignment="1">
      <alignment horizontal="center" vertical="center"/>
    </xf>
    <xf numFmtId="0" fontId="18" fillId="25" borderId="43" xfId="0" applyFont="1" applyFill="1" applyBorder="1" applyAlignment="1">
      <alignment vertical="center"/>
    </xf>
    <xf numFmtId="0" fontId="18" fillId="19" borderId="29" xfId="0" applyFont="1" applyFill="1" applyBorder="1"/>
    <xf numFmtId="0" fontId="0" fillId="0" borderId="29" xfId="0" applyBorder="1"/>
    <xf numFmtId="0" fontId="18" fillId="26" borderId="42" xfId="0" applyFont="1" applyFill="1" applyBorder="1" applyAlignment="1">
      <alignment vertical="center"/>
    </xf>
    <xf numFmtId="0" fontId="0" fillId="28" borderId="36" xfId="0" applyFill="1" applyBorder="1" applyAlignment="1">
      <alignment horizontal="center" vertical="center"/>
    </xf>
    <xf numFmtId="0" fontId="18" fillId="25" borderId="42" xfId="0" applyFont="1" applyFill="1" applyBorder="1" applyAlignment="1">
      <alignment vertical="center"/>
    </xf>
    <xf numFmtId="0" fontId="18" fillId="28" borderId="29" xfId="0" applyFont="1" applyFill="1" applyBorder="1"/>
    <xf numFmtId="0" fontId="18" fillId="20" borderId="33" xfId="0" applyFont="1" applyFill="1" applyBorder="1"/>
    <xf numFmtId="0" fontId="18" fillId="20" borderId="32" xfId="0" applyFont="1" applyFill="1" applyBorder="1"/>
    <xf numFmtId="0" fontId="0" fillId="20" borderId="31" xfId="0" applyFill="1" applyBorder="1"/>
    <xf numFmtId="0" fontId="0" fillId="29" borderId="29" xfId="0" applyFill="1" applyBorder="1"/>
    <xf numFmtId="0" fontId="18" fillId="0" borderId="1" xfId="0" applyFont="1" applyBorder="1" applyAlignment="1">
      <alignment horizontal="center"/>
    </xf>
    <xf numFmtId="0" fontId="0" fillId="0" borderId="57" xfId="0" applyBorder="1"/>
    <xf numFmtId="0" fontId="18" fillId="0" borderId="46" xfId="0" applyFont="1" applyBorder="1"/>
    <xf numFmtId="165" fontId="8" fillId="4" borderId="21" xfId="0" applyNumberFormat="1" applyFont="1" applyFill="1" applyBorder="1" applyAlignment="1">
      <alignment horizontal="righ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2" fillId="16" borderId="8" xfId="0" applyFont="1" applyFill="1" applyBorder="1" applyAlignment="1">
      <alignment horizontal="center" vertical="center" wrapText="1"/>
    </xf>
    <xf numFmtId="165" fontId="8" fillId="25" borderId="1" xfId="0" applyNumberFormat="1" applyFont="1" applyFill="1" applyBorder="1" applyAlignment="1">
      <alignment horizontal="right" vertical="center" wrapText="1"/>
    </xf>
    <xf numFmtId="0" fontId="26" fillId="25" borderId="3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1" borderId="58" xfId="0" applyFont="1" applyFill="1" applyBorder="1" applyAlignment="1">
      <alignment vertical="center" wrapText="1"/>
    </xf>
    <xf numFmtId="0" fontId="2" fillId="11" borderId="48" xfId="0" applyFont="1" applyFill="1" applyBorder="1" applyAlignment="1">
      <alignment horizontal="center" vertical="center" wrapText="1"/>
    </xf>
    <xf numFmtId="0" fontId="2" fillId="11" borderId="4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3" fillId="9" borderId="1" xfId="2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31" borderId="2" xfId="0" applyFont="1" applyFill="1" applyBorder="1" applyAlignment="1">
      <alignment horizontal="center" vertical="center" wrapText="1"/>
    </xf>
    <xf numFmtId="0" fontId="2" fillId="31" borderId="3" xfId="0" applyFont="1" applyFill="1" applyBorder="1" applyAlignment="1">
      <alignment horizontal="center" vertical="center" wrapText="1"/>
    </xf>
    <xf numFmtId="0" fontId="2" fillId="31" borderId="21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164" fontId="2" fillId="12" borderId="9" xfId="0" applyNumberFormat="1" applyFont="1" applyFill="1" applyBorder="1" applyAlignment="1">
      <alignment horizontal="center" vertical="center" wrapText="1"/>
    </xf>
    <xf numFmtId="164" fontId="2" fillId="12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10" borderId="10" xfId="0" applyNumberFormat="1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right" vertical="center" wrapText="1"/>
    </xf>
    <xf numFmtId="0" fontId="2" fillId="8" borderId="18" xfId="0" applyFont="1" applyFill="1" applyBorder="1" applyAlignment="1">
      <alignment horizontal="right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21" xfId="0" applyFont="1" applyFill="1" applyBorder="1" applyAlignment="1">
      <alignment horizontal="center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64" fontId="2" fillId="10" borderId="9" xfId="0" applyNumberFormat="1" applyFont="1" applyFill="1" applyBorder="1" applyAlignment="1">
      <alignment horizontal="center" vertical="center" wrapText="1"/>
    </xf>
    <xf numFmtId="164" fontId="2" fillId="10" borderId="10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164" fontId="2" fillId="12" borderId="22" xfId="0" applyNumberFormat="1" applyFont="1" applyFill="1" applyBorder="1" applyAlignment="1">
      <alignment horizontal="center" vertical="center" wrapText="1"/>
    </xf>
    <xf numFmtId="164" fontId="2" fillId="12" borderId="20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18" fillId="20" borderId="24" xfId="0" applyFont="1" applyFill="1" applyBorder="1" applyAlignment="1">
      <alignment horizontal="center" vertical="center" wrapText="1"/>
    </xf>
    <xf numFmtId="0" fontId="18" fillId="20" borderId="38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/>
    </xf>
    <xf numFmtId="0" fontId="18" fillId="9" borderId="33" xfId="0" applyFont="1" applyFill="1" applyBorder="1" applyAlignment="1">
      <alignment horizontal="center"/>
    </xf>
    <xf numFmtId="0" fontId="18" fillId="9" borderId="32" xfId="0" applyFont="1" applyFill="1" applyBorder="1" applyAlignment="1">
      <alignment horizontal="center"/>
    </xf>
    <xf numFmtId="0" fontId="18" fillId="9" borderId="31" xfId="0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/>
    </xf>
    <xf numFmtId="0" fontId="18" fillId="9" borderId="32" xfId="0" applyFont="1" applyFill="1" applyBorder="1" applyAlignment="1">
      <alignment horizontal="center" vertical="center"/>
    </xf>
    <xf numFmtId="0" fontId="18" fillId="16" borderId="26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/>
    </xf>
    <xf numFmtId="0" fontId="17" fillId="9" borderId="34" xfId="0" applyFont="1" applyFill="1" applyBorder="1" applyAlignment="1">
      <alignment horizontal="center"/>
    </xf>
    <xf numFmtId="0" fontId="17" fillId="9" borderId="45" xfId="0" applyFont="1" applyFill="1" applyBorder="1" applyAlignment="1">
      <alignment horizontal="center"/>
    </xf>
    <xf numFmtId="169" fontId="18" fillId="29" borderId="1" xfId="0" applyNumberFormat="1" applyFont="1" applyFill="1" applyBorder="1" applyAlignment="1">
      <alignment horizontal="center" vertical="center"/>
    </xf>
    <xf numFmtId="0" fontId="18" fillId="20" borderId="0" xfId="0" applyFont="1" applyFill="1" applyAlignment="1">
      <alignment horizontal="center" vertical="center" wrapText="1"/>
    </xf>
    <xf numFmtId="169" fontId="18" fillId="29" borderId="4" xfId="0" applyNumberFormat="1" applyFont="1" applyFill="1" applyBorder="1" applyAlignment="1">
      <alignment horizontal="center" vertical="center"/>
    </xf>
    <xf numFmtId="169" fontId="18" fillId="29" borderId="5" xfId="0" applyNumberFormat="1" applyFont="1" applyFill="1" applyBorder="1" applyAlignment="1">
      <alignment horizontal="center" vertical="center"/>
    </xf>
    <xf numFmtId="169" fontId="18" fillId="27" borderId="27" xfId="0" applyNumberFormat="1" applyFont="1" applyFill="1" applyBorder="1" applyAlignment="1">
      <alignment horizontal="center" vertical="center"/>
    </xf>
    <xf numFmtId="0" fontId="17" fillId="9" borderId="41" xfId="0" applyFont="1" applyFill="1" applyBorder="1" applyAlignment="1">
      <alignment horizontal="center"/>
    </xf>
    <xf numFmtId="0" fontId="17" fillId="9" borderId="42" xfId="0" applyFont="1" applyFill="1" applyBorder="1" applyAlignment="1">
      <alignment horizontal="center"/>
    </xf>
    <xf numFmtId="0" fontId="17" fillId="9" borderId="43" xfId="0" applyFont="1" applyFill="1" applyBorder="1" applyAlignment="1">
      <alignment horizontal="center"/>
    </xf>
    <xf numFmtId="0" fontId="18" fillId="4" borderId="26" xfId="0" applyFont="1" applyFill="1" applyBorder="1" applyAlignment="1">
      <alignment horizontal="center" vertical="center" wrapText="1"/>
    </xf>
    <xf numFmtId="0" fontId="18" fillId="22" borderId="47" xfId="0" applyFont="1" applyFill="1" applyBorder="1" applyAlignment="1">
      <alignment horizontal="right"/>
    </xf>
    <xf numFmtId="0" fontId="18" fillId="22" borderId="36" xfId="0" applyFont="1" applyFill="1" applyBorder="1" applyAlignment="1">
      <alignment horizontal="right"/>
    </xf>
    <xf numFmtId="0" fontId="18" fillId="22" borderId="37" xfId="0" applyFont="1" applyFill="1" applyBorder="1" applyAlignment="1">
      <alignment horizontal="right"/>
    </xf>
    <xf numFmtId="0" fontId="1" fillId="9" borderId="31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8" fillId="25" borderId="46" xfId="0" applyFont="1" applyFill="1" applyBorder="1" applyAlignment="1">
      <alignment horizontal="right"/>
    </xf>
    <xf numFmtId="0" fontId="18" fillId="25" borderId="3" xfId="0" applyFont="1" applyFill="1" applyBorder="1" applyAlignment="1">
      <alignment horizontal="right"/>
    </xf>
    <xf numFmtId="0" fontId="18" fillId="25" borderId="21" xfId="0" applyFont="1" applyFill="1" applyBorder="1" applyAlignment="1">
      <alignment horizontal="right"/>
    </xf>
    <xf numFmtId="0" fontId="17" fillId="9" borderId="31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/>
    </xf>
    <xf numFmtId="0" fontId="17" fillId="9" borderId="32" xfId="0" applyFont="1" applyFill="1" applyBorder="1" applyAlignment="1">
      <alignment horizontal="center"/>
    </xf>
    <xf numFmtId="0" fontId="18" fillId="22" borderId="28" xfId="0" applyFont="1" applyFill="1" applyBorder="1" applyAlignment="1">
      <alignment horizontal="right"/>
    </xf>
    <xf numFmtId="0" fontId="18" fillId="22" borderId="29" xfId="0" applyFont="1" applyFill="1" applyBorder="1" applyAlignment="1">
      <alignment horizontal="right"/>
    </xf>
    <xf numFmtId="0" fontId="18" fillId="22" borderId="48" xfId="0" applyFont="1" applyFill="1" applyBorder="1" applyAlignment="1">
      <alignment horizontal="center" vertical="center"/>
    </xf>
    <xf numFmtId="0" fontId="18" fillId="22" borderId="15" xfId="0" applyFont="1" applyFill="1" applyBorder="1" applyAlignment="1">
      <alignment horizontal="center" vertical="center"/>
    </xf>
    <xf numFmtId="0" fontId="18" fillId="22" borderId="39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/>
    </xf>
    <xf numFmtId="0" fontId="1" fillId="9" borderId="42" xfId="0" applyFont="1" applyFill="1" applyBorder="1" applyAlignment="1">
      <alignment horizontal="center"/>
    </xf>
    <xf numFmtId="0" fontId="1" fillId="9" borderId="43" xfId="0" applyFont="1" applyFill="1" applyBorder="1" applyAlignment="1">
      <alignment horizontal="center"/>
    </xf>
    <xf numFmtId="0" fontId="18" fillId="9" borderId="54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8" fillId="9" borderId="55" xfId="0" applyFont="1" applyFill="1" applyBorder="1" applyAlignment="1">
      <alignment horizontal="center"/>
    </xf>
    <xf numFmtId="0" fontId="1" fillId="22" borderId="48" xfId="0" applyFont="1" applyFill="1" applyBorder="1" applyAlignment="1">
      <alignment horizontal="center" vertical="center"/>
    </xf>
    <xf numFmtId="0" fontId="1" fillId="22" borderId="15" xfId="0" applyFont="1" applyFill="1" applyBorder="1" applyAlignment="1">
      <alignment horizontal="center" vertical="center"/>
    </xf>
    <xf numFmtId="0" fontId="1" fillId="22" borderId="39" xfId="0" applyFont="1" applyFill="1" applyBorder="1" applyAlignment="1">
      <alignment horizontal="center" vertical="center"/>
    </xf>
    <xf numFmtId="0" fontId="18" fillId="28" borderId="49" xfId="0" applyFont="1" applyFill="1" applyBorder="1" applyAlignment="1">
      <alignment horizontal="center" vertical="center"/>
    </xf>
    <xf numFmtId="0" fontId="18" fillId="28" borderId="35" xfId="0" applyFont="1" applyFill="1" applyBorder="1" applyAlignment="1">
      <alignment horizontal="center" vertical="center"/>
    </xf>
    <xf numFmtId="0" fontId="18" fillId="28" borderId="40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 wrapText="1"/>
    </xf>
    <xf numFmtId="0" fontId="1" fillId="15" borderId="28" xfId="0" applyFont="1" applyFill="1" applyBorder="1" applyAlignment="1">
      <alignment horizontal="center" vertical="center" wrapText="1"/>
    </xf>
    <xf numFmtId="169" fontId="0" fillId="29" borderId="1" xfId="0" applyNumberFormat="1" applyFill="1" applyBorder="1" applyAlignment="1">
      <alignment horizontal="center" vertical="center"/>
    </xf>
    <xf numFmtId="169" fontId="0" fillId="29" borderId="29" xfId="0" applyNumberFormat="1" applyFill="1" applyBorder="1" applyAlignment="1">
      <alignment horizontal="center" vertical="center"/>
    </xf>
    <xf numFmtId="169" fontId="0" fillId="27" borderId="27" xfId="0" applyNumberFormat="1" applyFill="1" applyBorder="1" applyAlignment="1">
      <alignment horizontal="center" vertical="center"/>
    </xf>
    <xf numFmtId="169" fontId="0" fillId="27" borderId="30" xfId="0" applyNumberForma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15" borderId="28" xfId="0" applyFont="1" applyFill="1" applyBorder="1" applyAlignment="1">
      <alignment horizontal="center" vertical="center"/>
    </xf>
    <xf numFmtId="0" fontId="18" fillId="26" borderId="47" xfId="0" applyFont="1" applyFill="1" applyBorder="1" applyAlignment="1">
      <alignment horizontal="right"/>
    </xf>
    <xf numFmtId="0" fontId="18" fillId="26" borderId="36" xfId="0" applyFont="1" applyFill="1" applyBorder="1" applyAlignment="1">
      <alignment horizontal="right"/>
    </xf>
    <xf numFmtId="0" fontId="18" fillId="26" borderId="37" xfId="0" applyFont="1" applyFill="1" applyBorder="1" applyAlignment="1">
      <alignment horizontal="right"/>
    </xf>
    <xf numFmtId="0" fontId="22" fillId="30" borderId="25" xfId="0" applyFont="1" applyFill="1" applyBorder="1" applyAlignment="1">
      <alignment horizontal="left" vertical="center"/>
    </xf>
    <xf numFmtId="0" fontId="22" fillId="30" borderId="45" xfId="0" applyFont="1" applyFill="1" applyBorder="1" applyAlignment="1">
      <alignment horizontal="left" vertical="center"/>
    </xf>
    <xf numFmtId="0" fontId="22" fillId="30" borderId="22" xfId="0" applyFont="1" applyFill="1" applyBorder="1" applyAlignment="1">
      <alignment horizontal="left" vertical="center"/>
    </xf>
    <xf numFmtId="0" fontId="22" fillId="30" borderId="20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5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22" fillId="30" borderId="25" xfId="0" applyFont="1" applyFill="1" applyBorder="1" applyAlignment="1">
      <alignment horizontal="left" vertical="center" wrapText="1"/>
    </xf>
    <xf numFmtId="0" fontId="22" fillId="30" borderId="45" xfId="0" applyFont="1" applyFill="1" applyBorder="1" applyAlignment="1">
      <alignment horizontal="left" vertical="center" wrapText="1"/>
    </xf>
    <xf numFmtId="0" fontId="22" fillId="30" borderId="22" xfId="0" applyFont="1" applyFill="1" applyBorder="1" applyAlignment="1">
      <alignment horizontal="left" vertical="center" wrapText="1"/>
    </xf>
    <xf numFmtId="0" fontId="22" fillId="30" borderId="2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24" fillId="0" borderId="25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4" fillId="0" borderId="45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0" borderId="34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3" fillId="23" borderId="0" xfId="0" applyFont="1" applyFill="1" applyAlignment="1">
      <alignment horizontal="center" vertical="center"/>
    </xf>
    <xf numFmtId="0" fontId="22" fillId="30" borderId="25" xfId="0" applyFont="1" applyFill="1" applyBorder="1" applyAlignment="1">
      <alignment horizontal="center" vertical="center"/>
    </xf>
    <xf numFmtId="0" fontId="22" fillId="30" borderId="34" xfId="0" applyFont="1" applyFill="1" applyBorder="1" applyAlignment="1">
      <alignment horizontal="center" vertical="center"/>
    </xf>
    <xf numFmtId="0" fontId="22" fillId="30" borderId="45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 wrapText="1"/>
    </xf>
    <xf numFmtId="0" fontId="10" fillId="10" borderId="18" xfId="0" applyFont="1" applyFill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 xr:uid="{00000000-0005-0000-0000-000001000000}"/>
    <cellStyle name="Yüzd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3CF31"/>
      <color rgb="FFCCCC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959221</xdr:colOff>
      <xdr:row>0</xdr:row>
      <xdr:rowOff>286870</xdr:rowOff>
    </xdr:from>
    <xdr:to>
      <xdr:col>6</xdr:col>
      <xdr:colOff>127073</xdr:colOff>
      <xdr:row>6</xdr:row>
      <xdr:rowOff>132325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6045" y="286870"/>
          <a:ext cx="2079813" cy="16046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170542</xdr:colOff>
      <xdr:row>6</xdr:row>
      <xdr:rowOff>173627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21" y="324897"/>
          <a:ext cx="2039160" cy="1373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K247"/>
  <sheetViews>
    <sheetView showWhiteSpace="0" view="pageBreakPreview" zoomScale="85" zoomScaleNormal="85" zoomScaleSheetLayoutView="85" workbookViewId="0">
      <selection activeCell="B26" sqref="B26"/>
    </sheetView>
  </sheetViews>
  <sheetFormatPr defaultColWidth="9.109375" defaultRowHeight="13.2" x14ac:dyDescent="0.25"/>
  <cols>
    <col min="1" max="1" width="53.109375" style="3" customWidth="1"/>
    <col min="2" max="2" width="27.44140625" style="3" customWidth="1"/>
    <col min="3" max="3" width="15.33203125" style="2" customWidth="1"/>
    <col min="4" max="4" width="22.88671875" style="2" customWidth="1"/>
    <col min="5" max="5" width="16.109375" style="3" customWidth="1"/>
    <col min="6" max="6" width="26.5546875" style="3" customWidth="1"/>
    <col min="7" max="7" width="15.44140625" style="3" customWidth="1"/>
    <col min="8" max="8" width="15.109375" style="3" customWidth="1"/>
    <col min="9" max="16384" width="9.109375" style="3"/>
  </cols>
  <sheetData>
    <row r="1" spans="1:8" ht="25.2" customHeight="1" thickBot="1" x14ac:dyDescent="0.3">
      <c r="A1" s="330" t="s">
        <v>70</v>
      </c>
      <c r="B1" s="331"/>
      <c r="C1" s="331"/>
      <c r="D1" s="331"/>
      <c r="E1" s="332"/>
      <c r="F1" s="329"/>
      <c r="G1" s="38"/>
    </row>
    <row r="2" spans="1:8" ht="19.2" customHeight="1" thickBot="1" x14ac:dyDescent="0.3">
      <c r="A2" s="26" t="s">
        <v>51</v>
      </c>
      <c r="B2" s="311" t="s">
        <v>380</v>
      </c>
      <c r="C2" s="312"/>
      <c r="D2" s="312"/>
      <c r="E2" s="313"/>
      <c r="F2" s="329"/>
      <c r="G2" s="39"/>
    </row>
    <row r="3" spans="1:8" ht="19.2" customHeight="1" thickBot="1" x14ac:dyDescent="0.3">
      <c r="A3" s="26" t="s">
        <v>57</v>
      </c>
      <c r="B3" s="311"/>
      <c r="C3" s="312"/>
      <c r="D3" s="312"/>
      <c r="E3" s="313"/>
      <c r="F3" s="329"/>
      <c r="G3" s="40"/>
    </row>
    <row r="4" spans="1:8" ht="19.2" customHeight="1" thickBot="1" x14ac:dyDescent="0.3">
      <c r="A4" s="26" t="s">
        <v>52</v>
      </c>
      <c r="B4" s="314"/>
      <c r="C4" s="315"/>
      <c r="D4" s="315"/>
      <c r="E4" s="316"/>
      <c r="F4" s="329"/>
      <c r="G4" s="41"/>
    </row>
    <row r="5" spans="1:8" ht="19.2" customHeight="1" thickBot="1" x14ac:dyDescent="0.3">
      <c r="A5" s="26" t="s">
        <v>86</v>
      </c>
      <c r="B5" s="314"/>
      <c r="C5" s="315"/>
      <c r="D5" s="315"/>
      <c r="E5" s="316"/>
      <c r="F5" s="329"/>
      <c r="G5" s="41"/>
    </row>
    <row r="6" spans="1:8" ht="19.8" thickBot="1" x14ac:dyDescent="0.3">
      <c r="A6" s="114" t="s">
        <v>68</v>
      </c>
      <c r="B6" s="37">
        <v>85</v>
      </c>
      <c r="C6" s="37">
        <v>1</v>
      </c>
      <c r="D6" s="321">
        <v>2500</v>
      </c>
      <c r="E6" s="322"/>
      <c r="F6" s="329"/>
      <c r="G6" s="42"/>
    </row>
    <row r="7" spans="1:8" ht="19.5" customHeight="1" thickBot="1" x14ac:dyDescent="0.3">
      <c r="A7" s="319" t="s">
        <v>53</v>
      </c>
      <c r="B7" s="28" t="s">
        <v>54</v>
      </c>
      <c r="C7" s="28" t="s">
        <v>55</v>
      </c>
      <c r="D7" s="28" t="s">
        <v>56</v>
      </c>
      <c r="E7" s="28" t="s">
        <v>55</v>
      </c>
      <c r="F7" s="329"/>
      <c r="G7" s="43"/>
    </row>
    <row r="8" spans="1:8" ht="19.5" customHeight="1" thickBot="1" x14ac:dyDescent="0.3">
      <c r="A8" s="320"/>
      <c r="B8" s="22"/>
      <c r="C8" s="53"/>
      <c r="D8" s="70"/>
      <c r="E8" s="53"/>
      <c r="F8" s="329"/>
      <c r="G8" s="44"/>
    </row>
    <row r="9" spans="1:8" ht="13.8" thickBot="1" x14ac:dyDescent="0.3">
      <c r="A9" s="325"/>
      <c r="B9" s="325"/>
      <c r="C9" s="325"/>
      <c r="D9" s="325"/>
      <c r="E9" s="325"/>
      <c r="F9" s="326"/>
    </row>
    <row r="10" spans="1:8" ht="36" customHeight="1" thickBot="1" x14ac:dyDescent="0.3">
      <c r="A10" s="29" t="s">
        <v>31</v>
      </c>
      <c r="B10" s="30" t="s">
        <v>58</v>
      </c>
      <c r="C10" s="30" t="s">
        <v>0</v>
      </c>
      <c r="D10" s="30" t="s">
        <v>24</v>
      </c>
      <c r="E10" s="30" t="s">
        <v>59</v>
      </c>
      <c r="F10" s="30" t="s">
        <v>101</v>
      </c>
      <c r="G10" s="54" t="s">
        <v>74</v>
      </c>
      <c r="H10" s="55" t="s">
        <v>78</v>
      </c>
    </row>
    <row r="11" spans="1:8" ht="15.6" customHeight="1" x14ac:dyDescent="0.25">
      <c r="A11" s="116"/>
      <c r="B11" s="115"/>
      <c r="C11" s="115"/>
      <c r="D11" s="115"/>
      <c r="E11" s="115"/>
      <c r="F11" s="246"/>
      <c r="G11" s="16"/>
      <c r="H11" s="56"/>
    </row>
    <row r="12" spans="1:8" ht="15.6" customHeight="1" x14ac:dyDescent="0.25">
      <c r="A12" s="16" t="s">
        <v>105</v>
      </c>
      <c r="B12" s="15" t="s">
        <v>106</v>
      </c>
      <c r="C12" s="15"/>
      <c r="D12" s="15"/>
      <c r="E12" s="1" t="s">
        <v>127</v>
      </c>
      <c r="F12" s="247"/>
      <c r="G12" s="16"/>
      <c r="H12" s="56"/>
    </row>
    <row r="13" spans="1:8" ht="15.6" customHeight="1" x14ac:dyDescent="0.25">
      <c r="A13" s="16" t="s">
        <v>105</v>
      </c>
      <c r="B13" s="15" t="s">
        <v>128</v>
      </c>
      <c r="C13" s="15"/>
      <c r="D13" s="15"/>
      <c r="E13" s="1" t="s">
        <v>127</v>
      </c>
      <c r="F13" s="247"/>
      <c r="G13" s="16"/>
      <c r="H13" s="56"/>
    </row>
    <row r="14" spans="1:8" ht="15.6" customHeight="1" x14ac:dyDescent="0.25">
      <c r="A14" s="16" t="s">
        <v>107</v>
      </c>
      <c r="B14" s="15" t="s">
        <v>109</v>
      </c>
      <c r="C14" s="15"/>
      <c r="D14" s="15"/>
      <c r="E14" s="1" t="s">
        <v>127</v>
      </c>
      <c r="F14" s="247"/>
      <c r="G14" s="16"/>
      <c r="H14" s="56"/>
    </row>
    <row r="15" spans="1:8" ht="15.6" customHeight="1" x14ac:dyDescent="0.25">
      <c r="A15" s="16" t="s">
        <v>129</v>
      </c>
      <c r="B15" s="15" t="s">
        <v>109</v>
      </c>
      <c r="C15" s="15"/>
      <c r="D15" s="15"/>
      <c r="E15" s="1" t="s">
        <v>127</v>
      </c>
      <c r="F15" s="247"/>
      <c r="G15" s="16"/>
      <c r="H15" s="56"/>
    </row>
    <row r="16" spans="1:8" ht="15.6" customHeight="1" x14ac:dyDescent="0.25">
      <c r="A16" s="16" t="s">
        <v>111</v>
      </c>
      <c r="B16" s="15" t="s">
        <v>110</v>
      </c>
      <c r="C16" s="15"/>
      <c r="D16" s="15"/>
      <c r="E16" s="1" t="s">
        <v>127</v>
      </c>
      <c r="F16" s="247"/>
      <c r="G16" s="16"/>
      <c r="H16" s="56"/>
    </row>
    <row r="17" spans="1:8" ht="15.6" customHeight="1" x14ac:dyDescent="0.25">
      <c r="A17" s="16" t="s">
        <v>111</v>
      </c>
      <c r="B17" s="15" t="s">
        <v>109</v>
      </c>
      <c r="C17" s="15"/>
      <c r="D17" s="15"/>
      <c r="E17" s="1" t="s">
        <v>127</v>
      </c>
      <c r="F17" s="247"/>
      <c r="G17" s="16"/>
      <c r="H17" s="56"/>
    </row>
    <row r="18" spans="1:8" ht="15.6" customHeight="1" x14ac:dyDescent="0.25">
      <c r="A18" s="16" t="s">
        <v>130</v>
      </c>
      <c r="B18" s="15" t="s">
        <v>108</v>
      </c>
      <c r="C18" s="15"/>
      <c r="D18" s="15"/>
      <c r="E18" s="1" t="s">
        <v>127</v>
      </c>
      <c r="F18" s="247"/>
      <c r="G18" s="16"/>
      <c r="H18" s="56"/>
    </row>
    <row r="19" spans="1:8" ht="15.6" customHeight="1" x14ac:dyDescent="0.25">
      <c r="A19" s="16" t="s">
        <v>131</v>
      </c>
      <c r="B19" s="15" t="s">
        <v>110</v>
      </c>
      <c r="C19" s="15"/>
      <c r="D19" s="15"/>
      <c r="E19" s="1" t="s">
        <v>127</v>
      </c>
      <c r="F19" s="247"/>
      <c r="G19" s="16"/>
      <c r="H19" s="56"/>
    </row>
    <row r="20" spans="1:8" ht="15.6" customHeight="1" x14ac:dyDescent="0.25">
      <c r="A20" s="16"/>
      <c r="B20" s="15"/>
      <c r="C20" s="15"/>
      <c r="D20" s="15"/>
      <c r="E20" s="25"/>
      <c r="F20" s="248"/>
      <c r="G20" s="16"/>
      <c r="H20" s="56"/>
    </row>
    <row r="21" spans="1:8" ht="15.6" customHeight="1" x14ac:dyDescent="0.25">
      <c r="A21" s="16" t="s">
        <v>145</v>
      </c>
      <c r="B21" s="15"/>
      <c r="C21" s="15"/>
      <c r="D21" s="15"/>
      <c r="E21" s="25"/>
      <c r="F21" s="248"/>
      <c r="G21" s="16"/>
      <c r="H21" s="56"/>
    </row>
    <row r="22" spans="1:8" ht="15.6" customHeight="1" x14ac:dyDescent="0.25">
      <c r="A22" s="16" t="s">
        <v>145</v>
      </c>
      <c r="B22" s="15"/>
      <c r="C22" s="15"/>
      <c r="D22" s="15"/>
      <c r="E22" s="25"/>
      <c r="F22" s="248"/>
      <c r="G22" s="16"/>
      <c r="H22" s="56"/>
    </row>
    <row r="23" spans="1:8" ht="16.2" thickBot="1" x14ac:dyDescent="0.3">
      <c r="A23" s="16"/>
      <c r="B23" s="15"/>
      <c r="C23" s="15"/>
      <c r="D23" s="15"/>
      <c r="E23" s="98"/>
      <c r="F23" s="248"/>
      <c r="G23" s="16"/>
      <c r="H23" s="56"/>
    </row>
    <row r="24" spans="1:8" ht="16.2" thickBot="1" x14ac:dyDescent="0.3">
      <c r="A24" s="327" t="s">
        <v>271</v>
      </c>
      <c r="B24" s="328"/>
      <c r="C24" s="188">
        <f>SUM(C12:C19)</f>
        <v>0</v>
      </c>
      <c r="D24" s="96">
        <f>SUM(D11:D19)</f>
        <v>0</v>
      </c>
      <c r="E24" s="317"/>
      <c r="F24" s="318"/>
      <c r="G24" s="100"/>
      <c r="H24" s="56"/>
    </row>
    <row r="25" spans="1:8" ht="15.6" customHeight="1" thickBot="1" x14ac:dyDescent="0.3">
      <c r="A25" s="82" t="s">
        <v>98</v>
      </c>
      <c r="B25" s="323"/>
      <c r="C25" s="324"/>
      <c r="D25" s="97" t="s">
        <v>99</v>
      </c>
      <c r="E25" s="317"/>
      <c r="F25" s="318"/>
      <c r="G25" s="99"/>
      <c r="H25" s="56"/>
    </row>
    <row r="26" spans="1:8" ht="31.8" thickBot="1" x14ac:dyDescent="0.3">
      <c r="A26" s="29" t="s">
        <v>60</v>
      </c>
      <c r="B26" s="30" t="s">
        <v>69</v>
      </c>
      <c r="C26" s="30" t="s">
        <v>0</v>
      </c>
      <c r="D26" s="30" t="s">
        <v>80</v>
      </c>
      <c r="E26" s="48"/>
      <c r="F26" s="30" t="s">
        <v>101</v>
      </c>
      <c r="G26" s="57"/>
      <c r="H26" s="56"/>
    </row>
    <row r="27" spans="1:8" ht="15.6" x14ac:dyDescent="0.25">
      <c r="A27" s="16" t="s">
        <v>77</v>
      </c>
      <c r="B27" s="15" t="s">
        <v>71</v>
      </c>
      <c r="C27" s="18"/>
      <c r="D27" s="12"/>
      <c r="E27" s="49"/>
      <c r="F27" s="213"/>
      <c r="G27" s="57"/>
      <c r="H27" s="56"/>
    </row>
    <row r="28" spans="1:8" ht="15.6" x14ac:dyDescent="0.25">
      <c r="A28" s="112"/>
      <c r="B28" s="36"/>
      <c r="C28" s="12"/>
      <c r="D28" s="15"/>
      <c r="E28" s="45"/>
      <c r="F28" s="214"/>
      <c r="G28" s="57"/>
      <c r="H28" s="56"/>
    </row>
    <row r="29" spans="1:8" ht="15.6" x14ac:dyDescent="0.25">
      <c r="A29" s="112" t="s">
        <v>75</v>
      </c>
      <c r="B29" s="36" t="s">
        <v>76</v>
      </c>
      <c r="C29" s="12"/>
      <c r="D29" s="12"/>
      <c r="E29" s="12"/>
      <c r="F29" s="215"/>
      <c r="G29" s="57"/>
      <c r="H29" s="56"/>
    </row>
    <row r="30" spans="1:8" ht="15.6" x14ac:dyDescent="0.25">
      <c r="A30" s="112"/>
      <c r="B30" s="36"/>
      <c r="C30" s="12"/>
      <c r="D30" s="12"/>
      <c r="E30" s="49"/>
      <c r="F30" s="213"/>
      <c r="G30" s="1"/>
      <c r="H30" s="56"/>
    </row>
    <row r="31" spans="1:8" ht="15.6" x14ac:dyDescent="0.25">
      <c r="A31" s="112" t="s">
        <v>113</v>
      </c>
      <c r="B31" s="36" t="s">
        <v>270</v>
      </c>
      <c r="C31" s="12"/>
      <c r="D31" s="15"/>
      <c r="E31" s="45"/>
      <c r="F31" s="214"/>
      <c r="G31" s="1"/>
      <c r="H31" s="56"/>
    </row>
    <row r="32" spans="1:8" ht="15.6" x14ac:dyDescent="0.25">
      <c r="A32" s="112"/>
      <c r="B32" s="36"/>
      <c r="C32" s="12"/>
      <c r="D32" s="15"/>
      <c r="E32" s="45"/>
      <c r="F32" s="214"/>
      <c r="G32" s="1"/>
      <c r="H32" s="56"/>
    </row>
    <row r="33" spans="1:8" ht="15.6" x14ac:dyDescent="0.25">
      <c r="A33" s="112" t="s">
        <v>298</v>
      </c>
      <c r="B33" s="6" t="s">
        <v>301</v>
      </c>
      <c r="C33" s="12"/>
      <c r="D33" s="15"/>
      <c r="E33" s="45"/>
      <c r="F33" s="214"/>
      <c r="G33" s="1"/>
      <c r="H33" s="56"/>
    </row>
    <row r="34" spans="1:8" ht="15.6" x14ac:dyDescent="0.25">
      <c r="A34" s="112" t="s">
        <v>344</v>
      </c>
      <c r="B34" s="6" t="s">
        <v>76</v>
      </c>
      <c r="C34" s="12"/>
      <c r="D34" s="15"/>
      <c r="E34" s="45"/>
      <c r="F34" s="214"/>
      <c r="G34" s="1"/>
      <c r="H34" s="56"/>
    </row>
    <row r="35" spans="1:8" ht="15.6" x14ac:dyDescent="0.25">
      <c r="A35" s="112" t="s">
        <v>345</v>
      </c>
      <c r="B35" s="6"/>
      <c r="C35" s="12"/>
      <c r="D35" s="15"/>
      <c r="E35" s="45"/>
      <c r="F35" s="214"/>
      <c r="G35" s="1"/>
      <c r="H35" s="56"/>
    </row>
    <row r="36" spans="1:8" ht="15.6" x14ac:dyDescent="0.25">
      <c r="A36" s="112"/>
      <c r="B36" s="6"/>
      <c r="C36" s="12"/>
      <c r="D36" s="15"/>
      <c r="E36" s="45"/>
      <c r="F36" s="214"/>
      <c r="G36" s="1"/>
      <c r="H36" s="56"/>
    </row>
    <row r="37" spans="1:8" ht="15.6" x14ac:dyDescent="0.25">
      <c r="A37" s="112" t="s">
        <v>119</v>
      </c>
      <c r="B37" s="15" t="s">
        <v>22</v>
      </c>
      <c r="C37" s="12"/>
      <c r="D37" s="15"/>
      <c r="E37" s="45"/>
      <c r="F37" s="214"/>
      <c r="G37" s="1"/>
      <c r="H37" s="56"/>
    </row>
    <row r="38" spans="1:8" ht="15.75" customHeight="1" x14ac:dyDescent="0.25">
      <c r="A38" s="112" t="s">
        <v>299</v>
      </c>
      <c r="B38" s="15" t="s">
        <v>22</v>
      </c>
      <c r="C38" s="12"/>
      <c r="D38" s="333" t="s">
        <v>300</v>
      </c>
      <c r="E38" s="334"/>
      <c r="F38" s="216"/>
      <c r="G38" s="1"/>
      <c r="H38" s="56"/>
    </row>
    <row r="39" spans="1:8" ht="15.75" customHeight="1" x14ac:dyDescent="0.25">
      <c r="A39" s="112"/>
      <c r="B39" s="15"/>
      <c r="C39" s="12"/>
      <c r="D39" s="249"/>
      <c r="E39" s="250"/>
      <c r="F39" s="220"/>
      <c r="G39" s="1"/>
      <c r="H39" s="56"/>
    </row>
    <row r="40" spans="1:8" ht="15.6" x14ac:dyDescent="0.25">
      <c r="A40" s="112" t="s">
        <v>293</v>
      </c>
      <c r="B40" s="15" t="s">
        <v>301</v>
      </c>
      <c r="C40" s="12"/>
      <c r="D40" s="15"/>
      <c r="E40" s="45"/>
      <c r="F40" s="214"/>
      <c r="G40" s="1"/>
      <c r="H40" s="56"/>
    </row>
    <row r="41" spans="1:8" ht="15.6" x14ac:dyDescent="0.25">
      <c r="A41" s="7" t="s">
        <v>279</v>
      </c>
      <c r="B41" s="15" t="s">
        <v>76</v>
      </c>
      <c r="C41" s="12"/>
      <c r="D41" s="15"/>
      <c r="E41" s="45"/>
      <c r="F41" s="214"/>
      <c r="G41" s="1"/>
      <c r="H41" s="56"/>
    </row>
    <row r="42" spans="1:8" ht="15.6" x14ac:dyDescent="0.25">
      <c r="A42" s="112" t="s">
        <v>345</v>
      </c>
      <c r="B42" s="15"/>
      <c r="C42" s="12"/>
      <c r="D42" s="15"/>
      <c r="E42" s="45"/>
      <c r="F42" s="214"/>
      <c r="G42" s="1"/>
      <c r="H42" s="56"/>
    </row>
    <row r="43" spans="1:8" ht="15.6" x14ac:dyDescent="0.25">
      <c r="A43" s="112" t="s">
        <v>331</v>
      </c>
      <c r="B43" s="15" t="s">
        <v>123</v>
      </c>
      <c r="C43" s="12"/>
      <c r="D43" s="15"/>
      <c r="E43" s="45"/>
      <c r="F43" s="214"/>
      <c r="G43" s="1"/>
      <c r="H43" s="56"/>
    </row>
    <row r="44" spans="1:8" ht="15.6" x14ac:dyDescent="0.25">
      <c r="A44" s="112"/>
      <c r="B44" s="15"/>
      <c r="C44" s="12"/>
      <c r="D44" s="15"/>
      <c r="E44" s="45"/>
      <c r="F44" s="214"/>
      <c r="G44" s="1"/>
      <c r="H44" s="56"/>
    </row>
    <row r="45" spans="1:8" ht="15.6" x14ac:dyDescent="0.25">
      <c r="A45" s="7" t="s">
        <v>279</v>
      </c>
      <c r="B45" s="15" t="s">
        <v>76</v>
      </c>
      <c r="C45" s="12"/>
      <c r="D45" s="15"/>
      <c r="E45" s="45"/>
      <c r="F45" s="214"/>
      <c r="G45" s="1"/>
      <c r="H45" s="56"/>
    </row>
    <row r="46" spans="1:8" ht="15.6" x14ac:dyDescent="0.25">
      <c r="A46" s="112" t="s">
        <v>120</v>
      </c>
      <c r="B46" s="6" t="s">
        <v>85</v>
      </c>
      <c r="C46" s="12"/>
      <c r="D46" s="339" t="s">
        <v>302</v>
      </c>
      <c r="E46" s="340"/>
      <c r="F46" s="214"/>
      <c r="G46" s="60"/>
      <c r="H46" s="61">
        <f>G46*D24</f>
        <v>0</v>
      </c>
    </row>
    <row r="47" spans="1:8" ht="15.6" x14ac:dyDescent="0.25">
      <c r="A47" s="112" t="s">
        <v>295</v>
      </c>
      <c r="B47" s="6" t="s">
        <v>296</v>
      </c>
      <c r="C47" s="12"/>
      <c r="D47" s="341"/>
      <c r="E47" s="342"/>
      <c r="F47" s="214"/>
      <c r="G47" s="60"/>
      <c r="H47" s="61"/>
    </row>
    <row r="48" spans="1:8" ht="15.6" x14ac:dyDescent="0.25">
      <c r="A48" s="7" t="s">
        <v>220</v>
      </c>
      <c r="B48" s="6" t="s">
        <v>221</v>
      </c>
      <c r="C48" s="34">
        <v>3</v>
      </c>
      <c r="D48" s="15"/>
      <c r="E48" s="45"/>
      <c r="F48" s="214"/>
      <c r="G48" s="60"/>
      <c r="H48" s="61"/>
    </row>
    <row r="49" spans="1:8" ht="15.6" x14ac:dyDescent="0.25">
      <c r="A49" s="112"/>
      <c r="B49" s="35"/>
      <c r="C49" s="12"/>
      <c r="D49" s="15"/>
      <c r="E49" s="45"/>
      <c r="F49" s="214"/>
      <c r="G49" s="1"/>
      <c r="H49" s="56"/>
    </row>
    <row r="50" spans="1:8" ht="15.6" customHeight="1" x14ac:dyDescent="0.25">
      <c r="A50" s="112" t="s">
        <v>332</v>
      </c>
      <c r="B50" s="36" t="s">
        <v>138</v>
      </c>
      <c r="C50" s="12"/>
      <c r="D50" s="15"/>
      <c r="E50" s="45"/>
      <c r="F50" s="214"/>
      <c r="G50" s="62"/>
      <c r="H50" s="56"/>
    </row>
    <row r="51" spans="1:8" ht="15.6" x14ac:dyDescent="0.25">
      <c r="A51" s="112" t="s">
        <v>121</v>
      </c>
      <c r="B51" s="36" t="s">
        <v>138</v>
      </c>
      <c r="C51" s="12"/>
      <c r="D51" s="15"/>
      <c r="E51" s="45"/>
      <c r="F51" s="214"/>
      <c r="G51" s="12"/>
      <c r="H51" s="63">
        <f>G51*C27</f>
        <v>0</v>
      </c>
    </row>
    <row r="52" spans="1:8" ht="16.2" thickBot="1" x14ac:dyDescent="0.3">
      <c r="A52" s="113" t="s">
        <v>150</v>
      </c>
      <c r="B52" s="36" t="s">
        <v>162</v>
      </c>
      <c r="C52" s="12"/>
      <c r="D52" s="15"/>
      <c r="E52" s="45"/>
      <c r="F52" s="217"/>
      <c r="G52" s="12"/>
      <c r="H52" s="63"/>
    </row>
    <row r="53" spans="1:8" s="35" customFormat="1" ht="16.2" thickBot="1" x14ac:dyDescent="0.3">
      <c r="A53" s="82" t="s">
        <v>98</v>
      </c>
      <c r="B53" s="323"/>
      <c r="C53" s="324"/>
      <c r="D53" s="75" t="s">
        <v>99</v>
      </c>
      <c r="E53" s="76"/>
      <c r="F53" s="80"/>
      <c r="G53" s="81"/>
      <c r="H53" s="63">
        <f>G53*C28</f>
        <v>0</v>
      </c>
    </row>
    <row r="54" spans="1:8" s="35" customFormat="1" ht="31.8" thickBot="1" x14ac:dyDescent="0.3">
      <c r="A54" s="29" t="s">
        <v>61</v>
      </c>
      <c r="B54" s="30" t="s">
        <v>58</v>
      </c>
      <c r="C54" s="30" t="s">
        <v>0</v>
      </c>
      <c r="D54" s="30" t="s">
        <v>64</v>
      </c>
      <c r="E54" s="48" t="s">
        <v>65</v>
      </c>
      <c r="F54" s="30" t="s">
        <v>101</v>
      </c>
      <c r="G54" s="15"/>
      <c r="H54" s="63">
        <f>G54*C29</f>
        <v>0</v>
      </c>
    </row>
    <row r="55" spans="1:8" s="35" customFormat="1" ht="15.6" x14ac:dyDescent="0.25">
      <c r="A55" s="16" t="s">
        <v>112</v>
      </c>
      <c r="B55" s="15" t="s">
        <v>123</v>
      </c>
      <c r="C55" s="17"/>
      <c r="D55" s="15"/>
      <c r="E55" s="45"/>
      <c r="F55" s="214"/>
      <c r="G55" s="15"/>
      <c r="H55" s="63"/>
    </row>
    <row r="56" spans="1:8" s="35" customFormat="1" ht="15.6" x14ac:dyDescent="0.25">
      <c r="A56" s="16"/>
      <c r="B56" s="15"/>
      <c r="C56" s="17"/>
      <c r="D56" s="15"/>
      <c r="E56" s="45"/>
      <c r="F56" s="214"/>
      <c r="G56" s="15"/>
      <c r="H56" s="63"/>
    </row>
    <row r="57" spans="1:8" s="35" customFormat="1" ht="15.6" x14ac:dyDescent="0.25">
      <c r="A57" s="16" t="s">
        <v>122</v>
      </c>
      <c r="B57" s="15" t="s">
        <v>91</v>
      </c>
      <c r="C57" s="17"/>
      <c r="D57" s="15"/>
      <c r="E57" s="45"/>
      <c r="F57" s="214"/>
      <c r="G57" s="15"/>
      <c r="H57" s="63"/>
    </row>
    <row r="58" spans="1:8" s="35" customFormat="1" ht="15.6" x14ac:dyDescent="0.25">
      <c r="A58" s="16"/>
      <c r="B58" s="15"/>
      <c r="C58" s="17"/>
      <c r="D58" s="15"/>
      <c r="E58" s="45"/>
      <c r="F58" s="214"/>
      <c r="G58" s="15"/>
      <c r="H58" s="63"/>
    </row>
    <row r="59" spans="1:8" s="35" customFormat="1" ht="15.75" customHeight="1" x14ac:dyDescent="0.25">
      <c r="A59" s="16" t="s">
        <v>333</v>
      </c>
      <c r="B59" s="15" t="s">
        <v>301</v>
      </c>
      <c r="C59" s="17"/>
      <c r="D59" s="335" t="s">
        <v>335</v>
      </c>
      <c r="E59" s="336"/>
      <c r="F59" s="218"/>
      <c r="G59" s="15"/>
      <c r="H59" s="63"/>
    </row>
    <row r="60" spans="1:8" s="35" customFormat="1" ht="30" customHeight="1" x14ac:dyDescent="0.25">
      <c r="A60" s="16" t="s">
        <v>334</v>
      </c>
      <c r="B60" s="15" t="s">
        <v>85</v>
      </c>
      <c r="C60" s="17"/>
      <c r="D60" s="337" t="s">
        <v>336</v>
      </c>
      <c r="E60" s="338"/>
      <c r="F60" s="219"/>
      <c r="G60" s="15"/>
      <c r="H60" s="63"/>
    </row>
    <row r="61" spans="1:8" s="35" customFormat="1" ht="15.6" x14ac:dyDescent="0.25">
      <c r="A61" s="16"/>
      <c r="B61" s="15"/>
      <c r="C61" s="17"/>
      <c r="D61" s="290"/>
      <c r="E61" s="290"/>
      <c r="F61" s="289"/>
      <c r="G61" s="15"/>
      <c r="H61" s="63"/>
    </row>
    <row r="62" spans="1:8" s="35" customFormat="1" ht="15.6" x14ac:dyDescent="0.25">
      <c r="A62" s="16" t="s">
        <v>370</v>
      </c>
      <c r="B62" s="15" t="s">
        <v>371</v>
      </c>
      <c r="C62" s="17"/>
      <c r="D62" s="291"/>
      <c r="E62" s="291"/>
      <c r="F62" s="289"/>
      <c r="G62" s="15"/>
      <c r="H62" s="63"/>
    </row>
    <row r="63" spans="1:8" s="35" customFormat="1" ht="15.6" x14ac:dyDescent="0.25">
      <c r="A63" s="16"/>
      <c r="B63" s="15"/>
      <c r="C63" s="17"/>
      <c r="D63" s="15"/>
      <c r="E63" s="45"/>
      <c r="F63" s="214"/>
      <c r="G63" s="15"/>
      <c r="H63" s="63"/>
    </row>
    <row r="64" spans="1:8" s="35" customFormat="1" ht="15.6" x14ac:dyDescent="0.25">
      <c r="A64" s="16" t="s">
        <v>124</v>
      </c>
      <c r="B64" s="15" t="s">
        <v>125</v>
      </c>
      <c r="C64" s="17"/>
      <c r="D64" s="15"/>
      <c r="E64" s="45"/>
      <c r="F64" s="214"/>
      <c r="G64" s="15"/>
      <c r="H64" s="63"/>
    </row>
    <row r="65" spans="1:8" s="35" customFormat="1" ht="15.6" x14ac:dyDescent="0.25">
      <c r="A65" s="16" t="s">
        <v>141</v>
      </c>
      <c r="B65" s="15" t="s">
        <v>143</v>
      </c>
      <c r="C65" s="17"/>
      <c r="D65" s="15"/>
      <c r="E65" s="45"/>
      <c r="F65" s="214"/>
      <c r="G65" s="15"/>
      <c r="H65" s="63"/>
    </row>
    <row r="66" spans="1:8" s="35" customFormat="1" ht="15.6" x14ac:dyDescent="0.25">
      <c r="A66" s="16" t="s">
        <v>141</v>
      </c>
      <c r="B66" s="33" t="s">
        <v>144</v>
      </c>
      <c r="C66" s="17"/>
      <c r="D66" s="15"/>
      <c r="E66" s="45"/>
      <c r="F66" s="214"/>
      <c r="G66" s="15"/>
      <c r="H66" s="63"/>
    </row>
    <row r="67" spans="1:8" s="35" customFormat="1" ht="16.2" thickBot="1" x14ac:dyDescent="0.3">
      <c r="A67" s="16" t="s">
        <v>142</v>
      </c>
      <c r="B67" s="15" t="s">
        <v>85</v>
      </c>
      <c r="C67" s="17"/>
      <c r="D67" s="15"/>
      <c r="E67" s="45"/>
      <c r="F67" s="217"/>
      <c r="G67" s="15"/>
      <c r="H67" s="63"/>
    </row>
    <row r="68" spans="1:8" s="35" customFormat="1" ht="16.2" thickBot="1" x14ac:dyDescent="0.3">
      <c r="A68" s="82" t="s">
        <v>98</v>
      </c>
      <c r="B68" s="323"/>
      <c r="C68" s="324"/>
      <c r="D68" s="75" t="s">
        <v>99</v>
      </c>
      <c r="E68" s="80"/>
      <c r="F68" s="80"/>
      <c r="G68" s="81"/>
      <c r="H68" s="63"/>
    </row>
    <row r="69" spans="1:8" ht="31.8" thickBot="1" x14ac:dyDescent="0.3">
      <c r="A69" s="29" t="s">
        <v>62</v>
      </c>
      <c r="B69" s="30" t="s">
        <v>58</v>
      </c>
      <c r="C69" s="30" t="s">
        <v>0</v>
      </c>
      <c r="D69" s="30" t="s">
        <v>64</v>
      </c>
      <c r="E69" s="48" t="s">
        <v>65</v>
      </c>
      <c r="F69" s="30" t="s">
        <v>101</v>
      </c>
      <c r="G69" s="17"/>
      <c r="H69" s="63">
        <f>G69*C53</f>
        <v>0</v>
      </c>
    </row>
    <row r="70" spans="1:8" ht="15.6" x14ac:dyDescent="0.25">
      <c r="A70" s="16" t="s">
        <v>26</v>
      </c>
      <c r="B70" s="15" t="s">
        <v>25</v>
      </c>
      <c r="C70" s="17"/>
      <c r="D70" s="15"/>
      <c r="E70" s="45"/>
      <c r="F70" s="214"/>
      <c r="G70" s="15"/>
      <c r="H70" s="63"/>
    </row>
    <row r="71" spans="1:8" ht="15.6" x14ac:dyDescent="0.25">
      <c r="A71" s="16" t="s">
        <v>35</v>
      </c>
      <c r="B71" s="15" t="s">
        <v>25</v>
      </c>
      <c r="C71" s="17"/>
      <c r="D71" s="15"/>
      <c r="E71" s="45"/>
      <c r="F71" s="214"/>
      <c r="G71" s="15"/>
      <c r="H71" s="63"/>
    </row>
    <row r="72" spans="1:8" ht="15.6" x14ac:dyDescent="0.25">
      <c r="A72" s="109"/>
      <c r="B72" s="32"/>
      <c r="C72" s="32"/>
      <c r="D72" s="32"/>
      <c r="E72" s="32"/>
      <c r="F72" s="220"/>
      <c r="G72" s="15"/>
      <c r="H72" s="63"/>
    </row>
    <row r="73" spans="1:8" ht="15.6" x14ac:dyDescent="0.25">
      <c r="A73" s="16" t="s">
        <v>83</v>
      </c>
      <c r="B73" s="15" t="s">
        <v>25</v>
      </c>
      <c r="C73" s="15"/>
      <c r="D73" s="17"/>
      <c r="E73" s="45"/>
      <c r="F73" s="214"/>
      <c r="G73" s="15"/>
      <c r="H73" s="63"/>
    </row>
    <row r="74" spans="1:8" ht="15.6" x14ac:dyDescent="0.25">
      <c r="A74" s="16" t="s">
        <v>45</v>
      </c>
      <c r="B74" s="15" t="s">
        <v>25</v>
      </c>
      <c r="C74" s="17"/>
      <c r="D74" s="94"/>
      <c r="E74" s="52"/>
      <c r="F74" s="221"/>
      <c r="G74" s="15"/>
      <c r="H74" s="63"/>
    </row>
    <row r="75" spans="1:8" ht="21.75" customHeight="1" x14ac:dyDescent="0.25">
      <c r="A75" s="110"/>
      <c r="B75" s="24"/>
      <c r="C75" s="24"/>
      <c r="D75" s="24"/>
      <c r="E75" s="31"/>
      <c r="F75" s="222"/>
      <c r="G75" s="15"/>
      <c r="H75" s="63"/>
    </row>
    <row r="76" spans="1:8" ht="32.25" customHeight="1" x14ac:dyDescent="0.25">
      <c r="A76" s="111" t="s">
        <v>338</v>
      </c>
      <c r="B76" s="17" t="s">
        <v>48</v>
      </c>
      <c r="C76" s="17"/>
      <c r="D76" s="17"/>
      <c r="E76" s="17"/>
      <c r="F76" s="211"/>
      <c r="G76" s="15"/>
      <c r="H76" s="63"/>
    </row>
    <row r="77" spans="1:8" ht="32.25" customHeight="1" x14ac:dyDescent="0.25">
      <c r="A77" s="111"/>
      <c r="B77" s="17"/>
      <c r="C77" s="17"/>
      <c r="D77" s="17"/>
      <c r="E77" s="17"/>
      <c r="F77" s="211"/>
      <c r="G77" s="15"/>
      <c r="H77" s="63"/>
    </row>
    <row r="78" spans="1:8" ht="32.25" customHeight="1" x14ac:dyDescent="0.25">
      <c r="A78" s="111" t="s">
        <v>339</v>
      </c>
      <c r="B78" s="15" t="s">
        <v>91</v>
      </c>
      <c r="C78" s="17"/>
      <c r="D78" s="17"/>
      <c r="E78" s="17"/>
      <c r="F78" s="211"/>
      <c r="G78" s="15"/>
      <c r="H78" s="63"/>
    </row>
    <row r="79" spans="1:8" ht="32.25" customHeight="1" x14ac:dyDescent="0.25">
      <c r="A79" s="111" t="s">
        <v>340</v>
      </c>
      <c r="B79" s="15" t="s">
        <v>91</v>
      </c>
      <c r="C79" s="17" t="s">
        <v>283</v>
      </c>
      <c r="D79" s="17"/>
      <c r="E79" s="17"/>
      <c r="F79" s="211"/>
      <c r="G79" s="15"/>
      <c r="H79" s="63"/>
    </row>
    <row r="80" spans="1:8" ht="32.25" customHeight="1" x14ac:dyDescent="0.25">
      <c r="A80" s="111" t="s">
        <v>342</v>
      </c>
      <c r="B80" s="15" t="s">
        <v>343</v>
      </c>
      <c r="C80" s="17"/>
      <c r="D80" s="17"/>
      <c r="E80" s="77"/>
      <c r="F80" s="217"/>
      <c r="G80" s="15"/>
      <c r="H80" s="63"/>
    </row>
    <row r="81" spans="1:8" ht="15.6" x14ac:dyDescent="0.25">
      <c r="A81" s="111"/>
      <c r="B81" s="15"/>
      <c r="C81" s="17"/>
      <c r="D81" s="17"/>
      <c r="E81" s="77"/>
      <c r="F81" s="217"/>
      <c r="G81" s="15"/>
      <c r="H81" s="63"/>
    </row>
    <row r="82" spans="1:8" ht="15.6" x14ac:dyDescent="0.25">
      <c r="A82" s="16" t="s">
        <v>370</v>
      </c>
      <c r="B82" s="15" t="s">
        <v>371</v>
      </c>
      <c r="C82" s="17"/>
      <c r="D82" s="17"/>
      <c r="E82" s="77"/>
      <c r="F82" s="217"/>
      <c r="G82" s="15"/>
      <c r="H82" s="63"/>
    </row>
    <row r="83" spans="1:8" ht="15.6" x14ac:dyDescent="0.25">
      <c r="A83" s="111"/>
      <c r="B83" s="15"/>
      <c r="C83" s="17"/>
      <c r="D83" s="17"/>
      <c r="E83" s="77"/>
      <c r="F83" s="217"/>
      <c r="G83" s="15"/>
      <c r="H83" s="63"/>
    </row>
    <row r="84" spans="1:8" ht="15.6" x14ac:dyDescent="0.25">
      <c r="A84" s="111" t="s">
        <v>341</v>
      </c>
      <c r="B84" s="17"/>
      <c r="C84" s="17"/>
      <c r="D84" s="17"/>
      <c r="E84" s="77"/>
      <c r="F84" s="217"/>
      <c r="G84" s="15"/>
      <c r="H84" s="63"/>
    </row>
    <row r="85" spans="1:8" ht="15.6" customHeight="1" x14ac:dyDescent="0.25">
      <c r="A85" s="16" t="s">
        <v>118</v>
      </c>
      <c r="B85" s="15" t="s">
        <v>36</v>
      </c>
      <c r="C85" s="17"/>
      <c r="D85" s="17"/>
      <c r="E85" s="45"/>
      <c r="F85" s="217"/>
      <c r="G85" s="62"/>
      <c r="H85" s="63"/>
    </row>
    <row r="86" spans="1:8" ht="15.6" customHeight="1" thickBot="1" x14ac:dyDescent="0.3">
      <c r="A86" s="16" t="s">
        <v>285</v>
      </c>
      <c r="B86" s="15" t="s">
        <v>36</v>
      </c>
      <c r="C86" s="17"/>
      <c r="D86" s="17"/>
      <c r="E86" s="45"/>
      <c r="F86" s="217"/>
      <c r="G86" s="87"/>
      <c r="H86" s="63"/>
    </row>
    <row r="87" spans="1:8" ht="15.6" customHeight="1" thickBot="1" x14ac:dyDescent="0.3">
      <c r="A87" s="82" t="s">
        <v>98</v>
      </c>
      <c r="B87" s="323"/>
      <c r="C87" s="324"/>
      <c r="D87" s="75" t="s">
        <v>99</v>
      </c>
      <c r="E87" s="80"/>
      <c r="F87" s="80"/>
      <c r="G87" s="117"/>
      <c r="H87" s="63" t="e">
        <f>G87*#REF!</f>
        <v>#REF!</v>
      </c>
    </row>
    <row r="88" spans="1:8" ht="31.8" thickBot="1" x14ac:dyDescent="0.3">
      <c r="A88" s="29" t="s">
        <v>63</v>
      </c>
      <c r="B88" s="30" t="s">
        <v>58</v>
      </c>
      <c r="C88" s="30" t="s">
        <v>0</v>
      </c>
      <c r="D88" s="30" t="s">
        <v>64</v>
      </c>
      <c r="E88" s="48" t="s">
        <v>65</v>
      </c>
      <c r="F88" s="30" t="s">
        <v>101</v>
      </c>
      <c r="G88" s="15"/>
      <c r="H88" s="63">
        <f>G88*C70</f>
        <v>0</v>
      </c>
    </row>
    <row r="89" spans="1:8" ht="15.6" x14ac:dyDescent="0.25">
      <c r="A89" s="7" t="s">
        <v>346</v>
      </c>
      <c r="B89" s="95" t="s">
        <v>48</v>
      </c>
      <c r="C89" s="15"/>
      <c r="D89" s="15"/>
      <c r="E89" s="45"/>
      <c r="F89" s="214"/>
      <c r="G89" s="15"/>
      <c r="H89" s="63"/>
    </row>
    <row r="90" spans="1:8" ht="15.6" x14ac:dyDescent="0.25">
      <c r="A90" s="7" t="s">
        <v>132</v>
      </c>
      <c r="B90" s="95" t="s">
        <v>133</v>
      </c>
      <c r="C90" s="15"/>
      <c r="D90" s="15"/>
      <c r="E90" s="45"/>
      <c r="F90" s="233"/>
      <c r="G90" s="15"/>
      <c r="H90" s="63"/>
    </row>
    <row r="91" spans="1:8" ht="15.6" x14ac:dyDescent="0.25">
      <c r="A91" s="7" t="s">
        <v>155</v>
      </c>
      <c r="B91" s="95" t="s">
        <v>133</v>
      </c>
      <c r="C91" s="15"/>
      <c r="D91" s="15"/>
      <c r="E91" s="45"/>
      <c r="F91" s="233"/>
      <c r="G91" s="15"/>
      <c r="H91" s="63"/>
    </row>
    <row r="92" spans="1:8" ht="15.6" x14ac:dyDescent="0.25">
      <c r="A92" s="7" t="s">
        <v>222</v>
      </c>
      <c r="B92" s="15" t="s">
        <v>139</v>
      </c>
      <c r="C92" s="15"/>
      <c r="D92" s="15"/>
      <c r="E92" s="45"/>
      <c r="F92" s="214"/>
      <c r="G92" s="15"/>
      <c r="H92" s="63"/>
    </row>
    <row r="93" spans="1:8" ht="15.6" x14ac:dyDescent="0.25">
      <c r="A93" s="7"/>
      <c r="B93" s="95"/>
      <c r="C93" s="15"/>
      <c r="D93" s="15"/>
      <c r="E93" s="45"/>
      <c r="F93" s="45"/>
      <c r="G93" s="15"/>
      <c r="H93" s="63"/>
    </row>
    <row r="94" spans="1:8" ht="15.6" x14ac:dyDescent="0.25">
      <c r="A94" s="16" t="s">
        <v>373</v>
      </c>
      <c r="B94" s="15" t="s">
        <v>138</v>
      </c>
      <c r="C94" s="15"/>
      <c r="D94" s="15"/>
      <c r="E94" s="45"/>
      <c r="F94" s="233"/>
      <c r="G94" s="15"/>
      <c r="H94" s="63"/>
    </row>
    <row r="95" spans="1:8" ht="15.6" x14ac:dyDescent="0.25">
      <c r="A95" s="16" t="s">
        <v>158</v>
      </c>
      <c r="B95" s="15" t="s">
        <v>95</v>
      </c>
      <c r="C95" s="15"/>
      <c r="D95" s="15"/>
      <c r="E95" s="45"/>
      <c r="F95" s="214"/>
      <c r="G95" s="15"/>
      <c r="H95" s="63"/>
    </row>
    <row r="96" spans="1:8" ht="15.6" x14ac:dyDescent="0.25">
      <c r="A96" s="16"/>
      <c r="B96" s="15"/>
      <c r="C96" s="15"/>
      <c r="D96" s="15"/>
      <c r="E96" s="45"/>
      <c r="F96" s="45"/>
      <c r="G96" s="15"/>
      <c r="H96" s="63"/>
    </row>
    <row r="97" spans="1:8" ht="15.6" x14ac:dyDescent="0.25">
      <c r="A97" s="16" t="s">
        <v>159</v>
      </c>
      <c r="B97" s="15" t="s">
        <v>138</v>
      </c>
      <c r="C97" s="15"/>
      <c r="D97" s="15"/>
      <c r="E97" s="45"/>
      <c r="F97" s="234"/>
      <c r="G97" s="15"/>
      <c r="H97" s="63"/>
    </row>
    <row r="98" spans="1:8" ht="15.6" customHeight="1" x14ac:dyDescent="0.25">
      <c r="A98" s="16" t="s">
        <v>160</v>
      </c>
      <c r="B98" s="15" t="s">
        <v>139</v>
      </c>
      <c r="C98" s="15"/>
      <c r="D98" s="15"/>
      <c r="E98" s="15"/>
      <c r="F98" s="211"/>
      <c r="G98" s="117"/>
      <c r="H98" s="63">
        <f>G98*C75</f>
        <v>0</v>
      </c>
    </row>
    <row r="99" spans="1:8" ht="15.6" customHeight="1" x14ac:dyDescent="0.25">
      <c r="A99" s="16" t="s">
        <v>290</v>
      </c>
      <c r="B99" s="15" t="s">
        <v>289</v>
      </c>
      <c r="C99" s="15"/>
      <c r="D99" s="15"/>
      <c r="E99" s="15"/>
      <c r="F99" s="211"/>
      <c r="G99" s="117"/>
      <c r="H99" s="63"/>
    </row>
    <row r="100" spans="1:8" ht="15.6" customHeight="1" x14ac:dyDescent="0.25">
      <c r="A100" s="16"/>
      <c r="B100" s="15"/>
      <c r="C100" s="15"/>
      <c r="D100" s="15"/>
      <c r="E100" s="15"/>
      <c r="F100" s="15"/>
      <c r="G100" s="117"/>
      <c r="H100" s="63"/>
    </row>
    <row r="101" spans="1:8" ht="15.6" customHeight="1" x14ac:dyDescent="0.25">
      <c r="A101" s="16" t="s">
        <v>161</v>
      </c>
      <c r="B101" s="15" t="s">
        <v>138</v>
      </c>
      <c r="C101" s="15"/>
      <c r="D101" s="15"/>
      <c r="E101" s="15"/>
      <c r="F101" s="235"/>
      <c r="G101" s="117"/>
      <c r="H101" s="63"/>
    </row>
    <row r="102" spans="1:8" ht="15.6" customHeight="1" x14ac:dyDescent="0.25">
      <c r="A102" s="16" t="s">
        <v>160</v>
      </c>
      <c r="B102" s="15" t="s">
        <v>139</v>
      </c>
      <c r="C102" s="15"/>
      <c r="D102" s="15"/>
      <c r="E102" s="15"/>
      <c r="F102" s="235"/>
      <c r="G102" s="117"/>
      <c r="H102" s="63"/>
    </row>
    <row r="103" spans="1:8" ht="15.6" customHeight="1" x14ac:dyDescent="0.25">
      <c r="A103" s="16" t="s">
        <v>288</v>
      </c>
      <c r="B103" s="15" t="s">
        <v>289</v>
      </c>
      <c r="C103" s="15"/>
      <c r="D103" s="15"/>
      <c r="E103" s="15"/>
      <c r="F103" s="235"/>
      <c r="G103" s="117"/>
      <c r="H103" s="63"/>
    </row>
    <row r="104" spans="1:8" ht="15.6" customHeight="1" x14ac:dyDescent="0.25">
      <c r="A104" s="16"/>
      <c r="B104" s="15"/>
      <c r="C104" s="15"/>
      <c r="D104" s="15"/>
      <c r="E104" s="15"/>
      <c r="F104" s="15"/>
      <c r="G104" s="117"/>
      <c r="H104" s="63"/>
    </row>
    <row r="105" spans="1:8" ht="15.6" customHeight="1" x14ac:dyDescent="0.25">
      <c r="A105" s="7" t="s">
        <v>346</v>
      </c>
      <c r="B105" s="95" t="s">
        <v>48</v>
      </c>
      <c r="C105" s="15"/>
      <c r="D105" s="15"/>
      <c r="E105" s="15"/>
      <c r="F105" s="211"/>
      <c r="G105" s="117"/>
      <c r="H105" s="63"/>
    </row>
    <row r="106" spans="1:8" ht="15.6" customHeight="1" x14ac:dyDescent="0.25">
      <c r="A106" s="7" t="s">
        <v>132</v>
      </c>
      <c r="B106" s="95" t="s">
        <v>133</v>
      </c>
      <c r="C106" s="15"/>
      <c r="D106" s="15"/>
      <c r="E106" s="15"/>
      <c r="F106" s="235"/>
      <c r="G106" s="117"/>
      <c r="H106" s="63"/>
    </row>
    <row r="107" spans="1:8" ht="15.6" customHeight="1" x14ac:dyDescent="0.25">
      <c r="A107" s="16" t="s">
        <v>217</v>
      </c>
      <c r="B107" s="15" t="s">
        <v>138</v>
      </c>
      <c r="C107" s="15"/>
      <c r="D107" s="15"/>
      <c r="E107" s="15"/>
      <c r="F107" s="235"/>
      <c r="G107" s="117"/>
      <c r="H107" s="63"/>
    </row>
    <row r="108" spans="1:8" ht="15.6" customHeight="1" x14ac:dyDescent="0.25">
      <c r="A108" s="16" t="s">
        <v>160</v>
      </c>
      <c r="B108" s="15" t="s">
        <v>139</v>
      </c>
      <c r="C108" s="15"/>
      <c r="D108" s="15"/>
      <c r="E108" s="15"/>
      <c r="F108" s="211"/>
      <c r="G108" s="117"/>
      <c r="H108" s="63"/>
    </row>
    <row r="109" spans="1:8" ht="15.6" customHeight="1" x14ac:dyDescent="0.25">
      <c r="A109" s="16" t="s">
        <v>222</v>
      </c>
      <c r="B109" s="15" t="s">
        <v>139</v>
      </c>
      <c r="C109" s="15"/>
      <c r="D109" s="15"/>
      <c r="E109" s="15"/>
      <c r="F109" s="211"/>
      <c r="G109" s="117"/>
      <c r="H109" s="63"/>
    </row>
    <row r="110" spans="1:8" ht="15.6" customHeight="1" x14ac:dyDescent="0.25">
      <c r="A110" s="7"/>
      <c r="B110" s="95"/>
      <c r="C110" s="17"/>
      <c r="D110" s="15"/>
      <c r="E110" s="15"/>
      <c r="F110" s="15"/>
      <c r="G110" s="117"/>
      <c r="H110" s="63"/>
    </row>
    <row r="111" spans="1:8" ht="15.6" customHeight="1" x14ac:dyDescent="0.25">
      <c r="A111" s="16" t="s">
        <v>347</v>
      </c>
      <c r="B111" s="15" t="s">
        <v>48</v>
      </c>
      <c r="C111" s="15">
        <v>1</v>
      </c>
      <c r="D111" s="15"/>
      <c r="E111" s="15"/>
      <c r="F111" s="211"/>
      <c r="G111" s="117"/>
      <c r="H111" s="63"/>
    </row>
    <row r="112" spans="1:8" ht="15.6" customHeight="1" x14ac:dyDescent="0.25">
      <c r="A112" s="16" t="s">
        <v>337</v>
      </c>
      <c r="B112" s="15" t="s">
        <v>219</v>
      </c>
      <c r="C112" s="15">
        <v>1</v>
      </c>
      <c r="D112" s="15"/>
      <c r="E112" s="15"/>
      <c r="F112" s="235"/>
      <c r="G112" s="117"/>
      <c r="H112" s="63"/>
    </row>
    <row r="113" spans="1:8" ht="15.6" customHeight="1" x14ac:dyDescent="0.25">
      <c r="A113" s="16" t="s">
        <v>218</v>
      </c>
      <c r="B113" s="15" t="s">
        <v>219</v>
      </c>
      <c r="C113" s="15">
        <v>1</v>
      </c>
      <c r="D113" s="15"/>
      <c r="E113" s="15"/>
      <c r="F113" s="235"/>
      <c r="G113" s="117"/>
      <c r="H113" s="63"/>
    </row>
    <row r="114" spans="1:8" ht="15.6" customHeight="1" x14ac:dyDescent="0.25">
      <c r="A114" s="7"/>
      <c r="B114" s="95"/>
      <c r="C114" s="17"/>
      <c r="D114" s="15"/>
      <c r="E114" s="15"/>
      <c r="F114" s="15"/>
      <c r="G114" s="117"/>
      <c r="H114" s="63"/>
    </row>
    <row r="115" spans="1:8" ht="15.6" customHeight="1" x14ac:dyDescent="0.25">
      <c r="A115" s="16" t="s">
        <v>157</v>
      </c>
      <c r="B115" s="15" t="s">
        <v>22</v>
      </c>
      <c r="C115" s="17"/>
      <c r="D115" s="15"/>
      <c r="E115" s="15"/>
      <c r="F115" s="211"/>
      <c r="G115" s="117"/>
      <c r="H115" s="63"/>
    </row>
    <row r="116" spans="1:8" ht="15.6" customHeight="1" x14ac:dyDescent="0.25">
      <c r="A116" s="16" t="s">
        <v>156</v>
      </c>
      <c r="B116" s="15" t="s">
        <v>22</v>
      </c>
      <c r="C116" s="17"/>
      <c r="D116" s="15"/>
      <c r="E116" s="15"/>
      <c r="F116" s="211"/>
      <c r="G116" s="117"/>
      <c r="H116" s="63"/>
    </row>
    <row r="117" spans="1:8" ht="15.6" customHeight="1" x14ac:dyDescent="0.25">
      <c r="A117" s="107"/>
      <c r="B117" s="15"/>
      <c r="C117" s="17"/>
      <c r="D117" s="15"/>
      <c r="E117" s="15"/>
      <c r="F117" s="15"/>
      <c r="G117" s="117"/>
      <c r="H117" s="63"/>
    </row>
    <row r="118" spans="1:8" ht="15.6" customHeight="1" x14ac:dyDescent="0.25">
      <c r="A118" s="16" t="s">
        <v>272</v>
      </c>
      <c r="B118" s="15" t="s">
        <v>36</v>
      </c>
      <c r="C118" s="17"/>
      <c r="D118" s="15"/>
      <c r="E118" s="15"/>
      <c r="F118" s="211"/>
      <c r="G118" s="117"/>
      <c r="H118" s="63"/>
    </row>
    <row r="119" spans="1:8" ht="15.6" customHeight="1" thickBot="1" x14ac:dyDescent="0.3">
      <c r="A119" s="16" t="s">
        <v>44</v>
      </c>
      <c r="B119" s="15" t="s">
        <v>49</v>
      </c>
      <c r="C119" s="17"/>
      <c r="D119" s="15"/>
      <c r="E119" s="15"/>
      <c r="F119" s="211"/>
      <c r="G119" s="117"/>
      <c r="H119" s="63"/>
    </row>
    <row r="120" spans="1:8" ht="16.2" thickBot="1" x14ac:dyDescent="0.3">
      <c r="A120" s="82" t="s">
        <v>98</v>
      </c>
      <c r="B120" s="323"/>
      <c r="C120" s="324"/>
      <c r="D120" s="196" t="s">
        <v>99</v>
      </c>
      <c r="E120" s="197"/>
      <c r="F120" s="197"/>
      <c r="G120" s="117"/>
      <c r="H120" s="63" t="e">
        <f>G120*#REF!</f>
        <v>#REF!</v>
      </c>
    </row>
    <row r="121" spans="1:8" ht="31.8" thickBot="1" x14ac:dyDescent="0.3">
      <c r="A121" s="29" t="s">
        <v>67</v>
      </c>
      <c r="B121" s="30" t="s">
        <v>58</v>
      </c>
      <c r="C121" s="30" t="s">
        <v>0</v>
      </c>
      <c r="D121" s="30" t="s">
        <v>80</v>
      </c>
      <c r="E121" s="48"/>
      <c r="F121" s="30" t="s">
        <v>101</v>
      </c>
      <c r="G121" s="17"/>
      <c r="H121" s="63"/>
    </row>
    <row r="122" spans="1:8" ht="15.6" x14ac:dyDescent="0.25">
      <c r="A122" s="7" t="s">
        <v>151</v>
      </c>
      <c r="B122" s="14" t="s">
        <v>47</v>
      </c>
      <c r="C122" s="21"/>
      <c r="D122" s="11"/>
      <c r="E122" s="33"/>
      <c r="F122" s="223"/>
      <c r="G122" s="17"/>
      <c r="H122" s="63"/>
    </row>
    <row r="123" spans="1:8" ht="15.6" x14ac:dyDescent="0.25">
      <c r="A123" s="16" t="s">
        <v>152</v>
      </c>
      <c r="B123" s="14" t="s">
        <v>41</v>
      </c>
      <c r="C123" s="11"/>
      <c r="D123" s="11"/>
      <c r="E123" s="45"/>
      <c r="F123" s="214"/>
      <c r="G123" s="15"/>
      <c r="H123" s="63">
        <f>G123*C87</f>
        <v>0</v>
      </c>
    </row>
    <row r="124" spans="1:8" ht="15.6" customHeight="1" x14ac:dyDescent="0.25">
      <c r="A124" s="16" t="s">
        <v>378</v>
      </c>
      <c r="B124" s="14" t="s">
        <v>0</v>
      </c>
      <c r="C124" s="11"/>
      <c r="D124" s="11"/>
      <c r="E124" s="45"/>
      <c r="F124" s="214"/>
      <c r="G124" s="17"/>
      <c r="H124" s="63" t="e">
        <f>G124*#REF!</f>
        <v>#REF!</v>
      </c>
    </row>
    <row r="125" spans="1:8" ht="15.6" x14ac:dyDescent="0.25">
      <c r="A125" s="16" t="s">
        <v>372</v>
      </c>
      <c r="B125" s="14" t="s">
        <v>0</v>
      </c>
      <c r="C125" s="34"/>
      <c r="D125" s="11"/>
      <c r="E125" s="45"/>
      <c r="F125" s="214"/>
      <c r="G125" s="15"/>
      <c r="H125" s="63">
        <f>G125*C85</f>
        <v>0</v>
      </c>
    </row>
    <row r="126" spans="1:8" ht="15.6" customHeight="1" x14ac:dyDescent="0.25">
      <c r="A126" s="16" t="s">
        <v>374</v>
      </c>
      <c r="B126" s="14" t="s">
        <v>0</v>
      </c>
      <c r="C126" s="11"/>
      <c r="D126" s="11"/>
      <c r="E126" s="45"/>
      <c r="F126" s="214"/>
      <c r="G126" s="62"/>
      <c r="H126" s="63"/>
    </row>
    <row r="127" spans="1:8" ht="15.6" customHeight="1" x14ac:dyDescent="0.25">
      <c r="A127" s="16" t="s">
        <v>375</v>
      </c>
      <c r="B127" s="14" t="s">
        <v>0</v>
      </c>
      <c r="C127" s="11"/>
      <c r="D127" s="11"/>
      <c r="E127" s="45"/>
      <c r="F127" s="214"/>
      <c r="G127" s="62"/>
      <c r="H127" s="63"/>
    </row>
    <row r="128" spans="1:8" ht="15.6" x14ac:dyDescent="0.25">
      <c r="A128" s="16" t="s">
        <v>42</v>
      </c>
      <c r="B128" s="14" t="s">
        <v>0</v>
      </c>
      <c r="C128" s="11"/>
      <c r="D128" s="11"/>
      <c r="E128" s="45"/>
      <c r="F128" s="214"/>
      <c r="G128" s="15"/>
      <c r="H128" s="63" t="e">
        <f>G128*#REF!</f>
        <v>#REF!</v>
      </c>
    </row>
    <row r="129" spans="1:8" ht="16.2" thickBot="1" x14ac:dyDescent="0.3">
      <c r="A129" s="16" t="s">
        <v>50</v>
      </c>
      <c r="B129" s="14" t="s">
        <v>0</v>
      </c>
      <c r="C129" s="11"/>
      <c r="D129" s="11"/>
      <c r="E129" s="101"/>
      <c r="F129" s="217"/>
      <c r="G129" s="15"/>
      <c r="H129" s="63" t="e">
        <f>G129*#REF!</f>
        <v>#REF!</v>
      </c>
    </row>
    <row r="130" spans="1:8" ht="16.2" thickBot="1" x14ac:dyDescent="0.3">
      <c r="A130" s="82" t="s">
        <v>98</v>
      </c>
      <c r="B130" s="323"/>
      <c r="C130" s="324"/>
      <c r="D130" s="75" t="s">
        <v>99</v>
      </c>
      <c r="E130" s="119"/>
      <c r="F130" s="118"/>
      <c r="G130" s="81"/>
      <c r="H130" s="63"/>
    </row>
    <row r="131" spans="1:8" ht="31.8" thickBot="1" x14ac:dyDescent="0.3">
      <c r="A131" s="29" t="s">
        <v>38</v>
      </c>
      <c r="B131" s="30" t="s">
        <v>58</v>
      </c>
      <c r="C131" s="30" t="s">
        <v>0</v>
      </c>
      <c r="D131" s="30"/>
      <c r="E131" s="48"/>
      <c r="F131" s="30" t="s">
        <v>101</v>
      </c>
      <c r="G131" s="15"/>
      <c r="H131" s="63"/>
    </row>
    <row r="132" spans="1:8" ht="15.6" x14ac:dyDescent="0.25">
      <c r="A132" s="16" t="s">
        <v>46</v>
      </c>
      <c r="B132" s="15" t="s">
        <v>81</v>
      </c>
      <c r="C132" s="15"/>
      <c r="D132" s="15"/>
      <c r="E132" s="45"/>
      <c r="F132" s="233"/>
      <c r="G132" s="15"/>
      <c r="H132" s="63">
        <f>G132*C120</f>
        <v>0</v>
      </c>
    </row>
    <row r="133" spans="1:8" ht="15.6" x14ac:dyDescent="0.25">
      <c r="A133" s="16" t="s">
        <v>366</v>
      </c>
      <c r="B133" s="15" t="s">
        <v>82</v>
      </c>
      <c r="C133" s="15"/>
      <c r="D133" s="15"/>
      <c r="E133" s="45"/>
      <c r="F133" s="233"/>
      <c r="G133" s="62"/>
      <c r="H133" s="63"/>
    </row>
    <row r="134" spans="1:8" ht="14.4" customHeight="1" x14ac:dyDescent="0.25">
      <c r="A134" s="7"/>
      <c r="B134" s="6"/>
      <c r="C134" s="34"/>
      <c r="D134" s="15"/>
      <c r="E134" s="45"/>
      <c r="F134" s="233"/>
      <c r="G134" s="15"/>
      <c r="H134" s="63" t="e">
        <f>G134*#REF!</f>
        <v>#REF!</v>
      </c>
    </row>
    <row r="135" spans="1:8" ht="31.2" x14ac:dyDescent="0.25">
      <c r="A135" s="7" t="s">
        <v>273</v>
      </c>
      <c r="B135" s="6" t="s">
        <v>134</v>
      </c>
      <c r="C135" s="34"/>
      <c r="D135" s="15"/>
      <c r="E135" s="45"/>
      <c r="F135" s="233"/>
      <c r="G135" s="15"/>
      <c r="H135" s="63"/>
    </row>
    <row r="136" spans="1:8" ht="31.2" x14ac:dyDescent="0.25">
      <c r="A136" s="7" t="s">
        <v>274</v>
      </c>
      <c r="B136" s="6" t="s">
        <v>136</v>
      </c>
      <c r="C136" s="34"/>
      <c r="D136" s="15"/>
      <c r="E136" s="45"/>
      <c r="F136" s="233"/>
      <c r="G136" s="15"/>
      <c r="H136" s="63"/>
    </row>
    <row r="137" spans="1:8" ht="31.2" x14ac:dyDescent="0.25">
      <c r="A137" s="7" t="s">
        <v>275</v>
      </c>
      <c r="B137" s="6" t="s">
        <v>137</v>
      </c>
      <c r="C137" s="34"/>
      <c r="D137" s="15"/>
      <c r="E137" s="45"/>
      <c r="F137" s="233"/>
      <c r="G137" s="15"/>
      <c r="H137" s="63"/>
    </row>
    <row r="138" spans="1:8" ht="36.6" customHeight="1" thickBot="1" x14ac:dyDescent="0.3">
      <c r="A138" s="7" t="s">
        <v>276</v>
      </c>
      <c r="B138" s="6" t="s">
        <v>135</v>
      </c>
      <c r="C138" s="34"/>
      <c r="D138" s="15"/>
      <c r="E138" s="101"/>
      <c r="F138" s="234"/>
      <c r="G138" s="15"/>
      <c r="H138" s="63">
        <f>G138*C122</f>
        <v>0</v>
      </c>
    </row>
    <row r="139" spans="1:8" ht="16.2" thickBot="1" x14ac:dyDescent="0.3">
      <c r="A139" s="82" t="s">
        <v>98</v>
      </c>
      <c r="B139" s="323"/>
      <c r="C139" s="324"/>
      <c r="D139" s="75" t="s">
        <v>99</v>
      </c>
      <c r="E139" s="317"/>
      <c r="F139" s="318"/>
      <c r="G139" s="81"/>
      <c r="H139" s="63">
        <f>G139*C125</f>
        <v>0</v>
      </c>
    </row>
    <row r="140" spans="1:8" ht="31.8" thickBot="1" x14ac:dyDescent="0.3">
      <c r="A140" s="29" t="s">
        <v>39</v>
      </c>
      <c r="B140" s="30" t="s">
        <v>58</v>
      </c>
      <c r="C140" s="30" t="s">
        <v>0</v>
      </c>
      <c r="D140" s="30"/>
      <c r="E140" s="48"/>
      <c r="F140" s="30" t="s">
        <v>101</v>
      </c>
      <c r="G140" s="15"/>
      <c r="H140" s="63">
        <f>G140*C123</f>
        <v>0</v>
      </c>
    </row>
    <row r="141" spans="1:8" ht="15.6" x14ac:dyDescent="0.25">
      <c r="A141" s="16" t="s">
        <v>37</v>
      </c>
      <c r="B141" s="14" t="s">
        <v>0</v>
      </c>
      <c r="C141" s="11"/>
      <c r="D141" s="15"/>
      <c r="E141" s="50"/>
      <c r="F141" s="224"/>
      <c r="G141" s="15"/>
      <c r="H141" s="63">
        <f>G141*C128</f>
        <v>0</v>
      </c>
    </row>
    <row r="142" spans="1:8" ht="15.6" x14ac:dyDescent="0.25">
      <c r="A142" s="16" t="s">
        <v>17</v>
      </c>
      <c r="B142" s="14" t="s">
        <v>0</v>
      </c>
      <c r="C142" s="11"/>
      <c r="D142" s="16"/>
      <c r="E142" s="46"/>
      <c r="F142" s="225"/>
      <c r="G142" s="15"/>
      <c r="H142" s="63">
        <f>G142*C129</f>
        <v>0</v>
      </c>
    </row>
    <row r="143" spans="1:8" ht="15.6" x14ac:dyDescent="0.25">
      <c r="A143" s="16" t="s">
        <v>287</v>
      </c>
      <c r="B143" s="14" t="s">
        <v>0</v>
      </c>
      <c r="C143" s="4"/>
      <c r="D143" s="13"/>
      <c r="E143" s="47"/>
      <c r="F143" s="226"/>
      <c r="G143" s="15"/>
      <c r="H143" s="63" t="e">
        <f>G143*#REF!</f>
        <v>#REF!</v>
      </c>
    </row>
    <row r="144" spans="1:8" ht="15.6" x14ac:dyDescent="0.25">
      <c r="A144" s="16" t="s">
        <v>163</v>
      </c>
      <c r="B144" s="14" t="s">
        <v>14</v>
      </c>
      <c r="C144" s="89"/>
      <c r="D144" s="13"/>
      <c r="E144" s="47"/>
      <c r="F144" s="226"/>
      <c r="G144" s="15"/>
      <c r="H144" s="63">
        <f>G144*C132</f>
        <v>0</v>
      </c>
    </row>
    <row r="145" spans="1:8" ht="15.6" x14ac:dyDescent="0.25">
      <c r="A145" s="16" t="s">
        <v>281</v>
      </c>
      <c r="B145" s="14" t="s">
        <v>140</v>
      </c>
      <c r="C145" s="89"/>
      <c r="D145" s="13"/>
      <c r="E145" s="47"/>
      <c r="F145" s="226"/>
      <c r="G145" s="15"/>
      <c r="H145" s="63"/>
    </row>
    <row r="146" spans="1:8" ht="15.6" x14ac:dyDescent="0.25">
      <c r="A146" s="16" t="s">
        <v>164</v>
      </c>
      <c r="B146" s="14" t="s">
        <v>2</v>
      </c>
      <c r="C146" s="4"/>
      <c r="D146" s="13"/>
      <c r="E146" s="47"/>
      <c r="F146" s="226"/>
      <c r="G146" s="15"/>
      <c r="H146" s="63"/>
    </row>
    <row r="147" spans="1:8" ht="15.6" x14ac:dyDescent="0.25">
      <c r="A147" s="16" t="s">
        <v>27</v>
      </c>
      <c r="B147" s="14" t="s">
        <v>28</v>
      </c>
      <c r="C147" s="4"/>
      <c r="D147" s="13"/>
      <c r="E147" s="47"/>
      <c r="F147" s="226"/>
      <c r="G147" s="15"/>
      <c r="H147" s="63"/>
    </row>
    <row r="148" spans="1:8" ht="15.75" customHeight="1" x14ac:dyDescent="0.25">
      <c r="A148" s="16" t="s">
        <v>282</v>
      </c>
      <c r="B148" s="14" t="s">
        <v>28</v>
      </c>
      <c r="C148" s="4">
        <v>5</v>
      </c>
      <c r="D148" s="13" t="s">
        <v>291</v>
      </c>
      <c r="E148" s="47"/>
      <c r="F148" s="226"/>
      <c r="G148" s="15"/>
      <c r="H148" s="63"/>
    </row>
    <row r="149" spans="1:8" ht="15.75" customHeight="1" x14ac:dyDescent="0.25">
      <c r="A149" s="16" t="s">
        <v>292</v>
      </c>
      <c r="B149" s="14" t="s">
        <v>28</v>
      </c>
      <c r="C149" s="4"/>
      <c r="D149" s="13"/>
      <c r="E149" s="47"/>
      <c r="F149" s="226"/>
      <c r="G149" s="15"/>
      <c r="H149" s="63"/>
    </row>
    <row r="150" spans="1:8" ht="15.6" customHeight="1" x14ac:dyDescent="0.25">
      <c r="A150" s="16" t="s">
        <v>154</v>
      </c>
      <c r="B150" s="14" t="s">
        <v>0</v>
      </c>
      <c r="C150" s="11"/>
      <c r="E150" s="47"/>
      <c r="F150" s="226"/>
      <c r="G150" s="62"/>
      <c r="H150" s="63"/>
    </row>
    <row r="151" spans="1:8" ht="15.6" customHeight="1" x14ac:dyDescent="0.25">
      <c r="A151" s="16" t="s">
        <v>165</v>
      </c>
      <c r="B151" s="14" t="s">
        <v>0</v>
      </c>
      <c r="C151" s="11"/>
      <c r="D151" s="13"/>
      <c r="E151" s="47"/>
      <c r="F151" s="226"/>
      <c r="G151" s="17"/>
      <c r="H151" s="63" t="e">
        <f>G151*#REF!</f>
        <v>#REF!</v>
      </c>
    </row>
    <row r="152" spans="1:8" ht="15.75" customHeight="1" x14ac:dyDescent="0.25">
      <c r="A152" s="16" t="s">
        <v>223</v>
      </c>
      <c r="B152" s="14" t="s">
        <v>0</v>
      </c>
      <c r="C152" s="11"/>
      <c r="D152" s="13"/>
      <c r="E152" s="47"/>
      <c r="F152" s="226"/>
      <c r="G152" s="16"/>
      <c r="H152" s="63">
        <f>G152*C142</f>
        <v>0</v>
      </c>
    </row>
    <row r="153" spans="1:8" ht="15.75" customHeight="1" x14ac:dyDescent="0.25">
      <c r="A153" s="16" t="s">
        <v>224</v>
      </c>
      <c r="B153" s="14" t="s">
        <v>0</v>
      </c>
      <c r="C153" s="11"/>
      <c r="D153" s="13"/>
      <c r="E153" s="47"/>
      <c r="F153" s="226"/>
      <c r="G153" s="16"/>
      <c r="H153" s="63"/>
    </row>
    <row r="154" spans="1:8" ht="15.75" customHeight="1" x14ac:dyDescent="0.25">
      <c r="A154" s="16" t="s">
        <v>153</v>
      </c>
      <c r="B154" s="14" t="s">
        <v>0</v>
      </c>
      <c r="C154" s="11"/>
      <c r="D154" s="13"/>
      <c r="E154" s="47"/>
      <c r="F154" s="226"/>
      <c r="G154" s="16"/>
      <c r="H154" s="63"/>
    </row>
    <row r="155" spans="1:8" ht="15.75" customHeight="1" x14ac:dyDescent="0.25">
      <c r="A155" s="16" t="s">
        <v>284</v>
      </c>
      <c r="B155" s="14" t="s">
        <v>0</v>
      </c>
      <c r="C155" s="11"/>
      <c r="D155" s="13"/>
      <c r="E155" s="47"/>
      <c r="F155" s="226"/>
      <c r="G155" s="16"/>
      <c r="H155" s="63"/>
    </row>
    <row r="156" spans="1:8" ht="15.6" x14ac:dyDescent="0.25">
      <c r="A156" s="16" t="s">
        <v>20</v>
      </c>
      <c r="B156" s="14" t="s">
        <v>0</v>
      </c>
      <c r="C156" s="11"/>
      <c r="D156" s="13"/>
      <c r="E156" s="47"/>
      <c r="F156" s="226"/>
      <c r="G156" s="1"/>
      <c r="H156" s="63">
        <f>G156*C143</f>
        <v>0</v>
      </c>
    </row>
    <row r="157" spans="1:8" ht="15.6" x14ac:dyDescent="0.25">
      <c r="A157" s="16" t="s">
        <v>19</v>
      </c>
      <c r="B157" s="14" t="s">
        <v>84</v>
      </c>
      <c r="C157" s="255"/>
      <c r="D157" s="13"/>
      <c r="E157" s="47"/>
      <c r="F157" s="226"/>
      <c r="G157" s="1"/>
      <c r="H157" s="63"/>
    </row>
    <row r="158" spans="1:8" ht="15.6" x14ac:dyDescent="0.25">
      <c r="A158" s="16" t="s">
        <v>18</v>
      </c>
      <c r="B158" s="14" t="s">
        <v>23</v>
      </c>
      <c r="C158" s="11"/>
      <c r="D158" s="13"/>
      <c r="E158" s="47"/>
      <c r="F158" s="226"/>
      <c r="G158" s="1"/>
      <c r="H158" s="63">
        <f>G158*C146</f>
        <v>0</v>
      </c>
    </row>
    <row r="159" spans="1:8" ht="18" customHeight="1" x14ac:dyDescent="0.25">
      <c r="A159" s="16" t="s">
        <v>11</v>
      </c>
      <c r="B159" s="14" t="s">
        <v>1</v>
      </c>
      <c r="C159" s="4"/>
      <c r="D159" s="13"/>
      <c r="E159" s="25"/>
      <c r="F159" s="212"/>
      <c r="G159" s="1"/>
      <c r="H159" s="63" t="e">
        <f>G159*#REF!</f>
        <v>#REF!</v>
      </c>
    </row>
    <row r="160" spans="1:8" ht="18" customHeight="1" x14ac:dyDescent="0.25">
      <c r="A160" s="16" t="s">
        <v>269</v>
      </c>
      <c r="B160" s="14" t="s">
        <v>1</v>
      </c>
      <c r="C160" s="4"/>
      <c r="D160" s="13"/>
      <c r="E160" s="25"/>
      <c r="F160" s="212"/>
      <c r="G160" s="102"/>
      <c r="H160" s="63"/>
    </row>
    <row r="161" spans="1:8" ht="18" customHeight="1" thickBot="1" x14ac:dyDescent="0.3">
      <c r="A161" s="107" t="s">
        <v>353</v>
      </c>
      <c r="B161" s="251" t="s">
        <v>0</v>
      </c>
      <c r="C161" s="252"/>
      <c r="D161" s="253"/>
      <c r="E161" s="190"/>
      <c r="F161" s="254"/>
      <c r="G161" s="102"/>
      <c r="H161" s="63"/>
    </row>
    <row r="162" spans="1:8" ht="18" customHeight="1" thickBot="1" x14ac:dyDescent="0.3">
      <c r="A162" s="82" t="s">
        <v>98</v>
      </c>
      <c r="B162" s="323"/>
      <c r="C162" s="324"/>
      <c r="D162" s="75" t="s">
        <v>99</v>
      </c>
      <c r="E162" s="317"/>
      <c r="F162" s="318"/>
      <c r="G162" s="102"/>
      <c r="H162" s="63" t="e">
        <f>G162*#REF!</f>
        <v>#REF!</v>
      </c>
    </row>
    <row r="163" spans="1:8" ht="31.8" thickBot="1" x14ac:dyDescent="0.3">
      <c r="A163" s="29" t="s">
        <v>40</v>
      </c>
      <c r="B163" s="30" t="s">
        <v>58</v>
      </c>
      <c r="C163" s="30" t="s">
        <v>0</v>
      </c>
      <c r="D163" s="30"/>
      <c r="E163" s="48"/>
      <c r="F163" s="30" t="s">
        <v>101</v>
      </c>
      <c r="G163" s="1"/>
      <c r="H163" s="63">
        <f>G163*C150</f>
        <v>0</v>
      </c>
    </row>
    <row r="164" spans="1:8" ht="19.2" customHeight="1" x14ac:dyDescent="0.25">
      <c r="A164" s="7" t="s">
        <v>30</v>
      </c>
      <c r="B164" s="6" t="s">
        <v>1</v>
      </c>
      <c r="C164" s="17"/>
      <c r="D164" s="17"/>
      <c r="E164" s="50"/>
      <c r="F164" s="224"/>
      <c r="G164" s="1"/>
      <c r="H164" s="63"/>
    </row>
    <row r="165" spans="1:8" ht="19.2" customHeight="1" x14ac:dyDescent="0.25">
      <c r="A165" s="7" t="s">
        <v>29</v>
      </c>
      <c r="B165" s="6" t="s">
        <v>1</v>
      </c>
      <c r="C165" s="17"/>
      <c r="D165" s="17"/>
      <c r="E165" s="50"/>
      <c r="F165" s="224"/>
      <c r="G165" s="1"/>
      <c r="H165" s="63">
        <f>G165*C152</f>
        <v>0</v>
      </c>
    </row>
    <row r="166" spans="1:8" ht="19.2" customHeight="1" x14ac:dyDescent="0.25">
      <c r="A166" s="7" t="s">
        <v>21</v>
      </c>
      <c r="B166" s="6" t="s">
        <v>1</v>
      </c>
      <c r="C166" s="17"/>
      <c r="D166" s="17"/>
      <c r="E166" s="47"/>
      <c r="F166" s="226"/>
      <c r="G166" s="1"/>
      <c r="H166" s="63">
        <f>G166*C154</f>
        <v>0</v>
      </c>
    </row>
    <row r="167" spans="1:8" ht="19.2" customHeight="1" x14ac:dyDescent="0.25">
      <c r="A167" s="7" t="s">
        <v>12</v>
      </c>
      <c r="B167" s="6" t="s">
        <v>1</v>
      </c>
      <c r="C167" s="19"/>
      <c r="D167" s="19"/>
      <c r="E167" s="47"/>
      <c r="F167" s="226"/>
      <c r="G167" s="1"/>
      <c r="H167" s="63" t="e">
        <f>G167*#REF!</f>
        <v>#REF!</v>
      </c>
    </row>
    <row r="168" spans="1:8" ht="19.2" customHeight="1" x14ac:dyDescent="0.25">
      <c r="A168" s="7" t="s">
        <v>280</v>
      </c>
      <c r="B168" s="6" t="s">
        <v>1</v>
      </c>
      <c r="C168" s="19"/>
      <c r="D168" s="19"/>
      <c r="E168" s="47"/>
      <c r="F168" s="226"/>
      <c r="G168" s="1"/>
      <c r="H168" s="63">
        <f>G168*C156</f>
        <v>0</v>
      </c>
    </row>
    <row r="169" spans="1:8" ht="19.2" customHeight="1" x14ac:dyDescent="0.25">
      <c r="A169" s="7" t="s">
        <v>166</v>
      </c>
      <c r="B169" s="6" t="s">
        <v>1</v>
      </c>
      <c r="C169" s="19"/>
      <c r="D169" s="19"/>
      <c r="E169" s="47"/>
      <c r="F169" s="226"/>
      <c r="G169" s="1"/>
      <c r="H169" s="63" t="e">
        <f>G169*#REF!</f>
        <v>#REF!</v>
      </c>
    </row>
    <row r="170" spans="1:8" ht="19.2" customHeight="1" x14ac:dyDescent="0.25">
      <c r="A170" s="7" t="s">
        <v>167</v>
      </c>
      <c r="B170" s="6" t="s">
        <v>1</v>
      </c>
      <c r="C170" s="19"/>
      <c r="D170" s="19"/>
      <c r="E170" s="47"/>
      <c r="F170" s="226"/>
      <c r="G170" s="1"/>
      <c r="H170" s="63"/>
    </row>
    <row r="171" spans="1:8" ht="19.2" customHeight="1" x14ac:dyDescent="0.25">
      <c r="A171" s="9" t="s">
        <v>168</v>
      </c>
      <c r="B171" s="6" t="s">
        <v>1</v>
      </c>
      <c r="C171" s="19"/>
      <c r="D171" s="19"/>
      <c r="E171" s="47"/>
      <c r="F171" s="226"/>
      <c r="G171" s="1"/>
      <c r="H171" s="63"/>
    </row>
    <row r="172" spans="1:8" ht="19.2" customHeight="1" x14ac:dyDescent="0.25">
      <c r="A172" s="9" t="s">
        <v>73</v>
      </c>
      <c r="B172" s="6" t="s">
        <v>1</v>
      </c>
      <c r="C172" s="20"/>
      <c r="D172" s="20"/>
      <c r="E172" s="47"/>
      <c r="F172" s="226"/>
      <c r="G172" s="1"/>
      <c r="H172" s="63">
        <f>G172*C158</f>
        <v>0</v>
      </c>
    </row>
    <row r="173" spans="1:8" ht="19.2" customHeight="1" x14ac:dyDescent="0.25">
      <c r="A173" s="9" t="s">
        <v>72</v>
      </c>
      <c r="B173" s="6" t="s">
        <v>1</v>
      </c>
      <c r="C173" s="20"/>
      <c r="D173" s="20"/>
      <c r="E173" s="47"/>
      <c r="F173" s="226"/>
      <c r="G173" s="1"/>
      <c r="H173" s="63"/>
    </row>
    <row r="174" spans="1:8" ht="19.2" customHeight="1" x14ac:dyDescent="0.25">
      <c r="A174" s="9" t="s">
        <v>32</v>
      </c>
      <c r="B174" s="6" t="s">
        <v>0</v>
      </c>
      <c r="C174" s="20"/>
      <c r="D174" s="20"/>
      <c r="E174" s="8"/>
      <c r="F174" s="227"/>
      <c r="G174" s="1"/>
      <c r="H174" s="63">
        <f>G174*C159</f>
        <v>0</v>
      </c>
    </row>
    <row r="175" spans="1:8" ht="19.2" customHeight="1" x14ac:dyDescent="0.25">
      <c r="A175" s="9" t="s">
        <v>33</v>
      </c>
      <c r="B175" s="6" t="s">
        <v>0</v>
      </c>
      <c r="C175" s="20"/>
      <c r="D175" s="20"/>
      <c r="E175" s="8"/>
      <c r="F175" s="227"/>
      <c r="G175" s="15"/>
      <c r="H175" s="63">
        <f>G175*C162</f>
        <v>0</v>
      </c>
    </row>
    <row r="176" spans="1:8" ht="19.2" customHeight="1" x14ac:dyDescent="0.25">
      <c r="A176" s="9" t="s">
        <v>34</v>
      </c>
      <c r="B176" s="6" t="s">
        <v>0</v>
      </c>
      <c r="C176" s="20"/>
      <c r="D176" s="20"/>
      <c r="E176" s="103"/>
      <c r="F176" s="228"/>
      <c r="G176" s="62"/>
      <c r="H176" s="63"/>
    </row>
    <row r="177" spans="1:11" ht="19.2" customHeight="1" x14ac:dyDescent="0.25">
      <c r="A177" s="9" t="s">
        <v>277</v>
      </c>
      <c r="B177" s="6" t="s">
        <v>0</v>
      </c>
      <c r="C177" s="20"/>
      <c r="D177" s="20"/>
      <c r="E177" s="103"/>
      <c r="F177" s="228"/>
      <c r="G177" s="87"/>
      <c r="H177" s="63"/>
    </row>
    <row r="178" spans="1:11" ht="19.2" customHeight="1" x14ac:dyDescent="0.25">
      <c r="A178" s="7" t="s">
        <v>278</v>
      </c>
      <c r="B178" s="6" t="s">
        <v>0</v>
      </c>
      <c r="C178" s="20"/>
      <c r="D178" s="20"/>
      <c r="E178" s="66"/>
      <c r="F178" s="288"/>
      <c r="G178" s="87"/>
      <c r="H178" s="63"/>
    </row>
    <row r="179" spans="1:11" ht="19.2" customHeight="1" x14ac:dyDescent="0.25">
      <c r="A179" s="7" t="s">
        <v>369</v>
      </c>
      <c r="B179" s="6" t="s">
        <v>0</v>
      </c>
      <c r="C179" s="20"/>
      <c r="D179" s="20"/>
      <c r="E179" s="66"/>
      <c r="F179" s="288"/>
      <c r="G179" s="87"/>
      <c r="H179" s="63"/>
    </row>
    <row r="180" spans="1:11" ht="19.2" customHeight="1" x14ac:dyDescent="0.25">
      <c r="A180" s="7" t="s">
        <v>376</v>
      </c>
      <c r="B180" s="6" t="s">
        <v>0</v>
      </c>
      <c r="C180" s="20">
        <v>1</v>
      </c>
      <c r="D180" s="20"/>
      <c r="E180" s="66"/>
      <c r="F180" s="288"/>
      <c r="G180" s="87"/>
      <c r="H180" s="63"/>
    </row>
    <row r="181" spans="1:11" ht="16.2" thickBot="1" x14ac:dyDescent="0.3">
      <c r="A181" s="287" t="s">
        <v>98</v>
      </c>
      <c r="B181" s="349"/>
      <c r="C181" s="350"/>
      <c r="D181" s="196" t="s">
        <v>99</v>
      </c>
      <c r="E181" s="351"/>
      <c r="F181" s="352"/>
      <c r="G181" s="81"/>
      <c r="H181" s="63" t="e">
        <f>G181*#REF!</f>
        <v>#REF!</v>
      </c>
    </row>
    <row r="182" spans="1:11" ht="31.8" thickBot="1" x14ac:dyDescent="0.3">
      <c r="A182" s="29" t="s">
        <v>66</v>
      </c>
      <c r="B182" s="30" t="s">
        <v>58</v>
      </c>
      <c r="C182" s="30" t="s">
        <v>0</v>
      </c>
      <c r="D182" s="30"/>
      <c r="E182" s="48"/>
      <c r="F182" s="30" t="s">
        <v>101</v>
      </c>
      <c r="G182" s="65"/>
      <c r="H182" s="63">
        <f t="shared" ref="H182:H187" si="0">G182*C164</f>
        <v>0</v>
      </c>
    </row>
    <row r="183" spans="1:11" ht="15.75" customHeight="1" x14ac:dyDescent="0.25">
      <c r="A183" s="7" t="s">
        <v>4</v>
      </c>
      <c r="B183" s="6" t="s">
        <v>3</v>
      </c>
      <c r="C183" s="11"/>
      <c r="D183" s="11">
        <v>6</v>
      </c>
      <c r="E183" s="47"/>
      <c r="F183" s="231"/>
      <c r="G183" s="65"/>
      <c r="H183" s="63">
        <f t="shared" si="0"/>
        <v>0</v>
      </c>
    </row>
    <row r="184" spans="1:11" ht="15.6" x14ac:dyDescent="0.25">
      <c r="A184" s="7" t="s">
        <v>5</v>
      </c>
      <c r="B184" s="6" t="s">
        <v>1</v>
      </c>
      <c r="C184" s="11"/>
      <c r="D184" s="11">
        <v>15</v>
      </c>
      <c r="E184" s="51"/>
      <c r="F184" s="232"/>
      <c r="G184" s="1"/>
      <c r="H184" s="63">
        <f t="shared" si="0"/>
        <v>0</v>
      </c>
    </row>
    <row r="185" spans="1:11" ht="15.6" x14ac:dyDescent="0.25">
      <c r="A185" s="7" t="s">
        <v>6</v>
      </c>
      <c r="B185" s="6" t="s">
        <v>1</v>
      </c>
      <c r="C185" s="11"/>
      <c r="D185" s="11">
        <v>12</v>
      </c>
      <c r="E185" s="47"/>
      <c r="F185" s="231"/>
      <c r="G185" s="1"/>
      <c r="H185" s="63">
        <f t="shared" si="0"/>
        <v>0</v>
      </c>
    </row>
    <row r="186" spans="1:11" s="10" customFormat="1" ht="15.6" x14ac:dyDescent="0.25">
      <c r="A186" s="7" t="s">
        <v>7</v>
      </c>
      <c r="B186" s="6" t="s">
        <v>1</v>
      </c>
      <c r="C186" s="11"/>
      <c r="D186" s="11">
        <v>6</v>
      </c>
      <c r="E186" s="47"/>
      <c r="F186" s="231"/>
      <c r="G186" s="1"/>
      <c r="H186" s="63">
        <f t="shared" si="0"/>
        <v>0</v>
      </c>
      <c r="I186" s="3"/>
      <c r="J186" s="3"/>
      <c r="K186" s="3"/>
    </row>
    <row r="187" spans="1:11" s="10" customFormat="1" ht="15.6" x14ac:dyDescent="0.25">
      <c r="A187" s="7" t="s">
        <v>8</v>
      </c>
      <c r="B187" s="6" t="s">
        <v>1</v>
      </c>
      <c r="C187" s="11"/>
      <c r="D187" s="11">
        <v>15</v>
      </c>
      <c r="E187" s="47"/>
      <c r="F187" s="231"/>
      <c r="G187" s="1"/>
      <c r="H187" s="63">
        <f t="shared" si="0"/>
        <v>0</v>
      </c>
      <c r="I187" s="3"/>
      <c r="J187" s="3"/>
      <c r="K187" s="3"/>
    </row>
    <row r="188" spans="1:11" s="10" customFormat="1" ht="15.6" x14ac:dyDescent="0.25">
      <c r="A188" s="7" t="s">
        <v>9</v>
      </c>
      <c r="B188" s="6" t="s">
        <v>1</v>
      </c>
      <c r="C188" s="11"/>
      <c r="D188" s="11">
        <v>6</v>
      </c>
      <c r="E188" s="47"/>
      <c r="F188" s="231"/>
      <c r="G188" s="1"/>
      <c r="H188" s="63"/>
      <c r="I188" s="3"/>
      <c r="J188" s="3"/>
      <c r="K188" s="3"/>
    </row>
    <row r="189" spans="1:11" ht="15.6" x14ac:dyDescent="0.25">
      <c r="A189" s="7" t="s">
        <v>10</v>
      </c>
      <c r="B189" s="6" t="s">
        <v>1</v>
      </c>
      <c r="C189" s="11"/>
      <c r="D189" s="11">
        <v>3</v>
      </c>
      <c r="E189" s="47"/>
      <c r="F189" s="231"/>
      <c r="G189" s="1"/>
      <c r="H189" s="63">
        <f>G189*C172</f>
        <v>0</v>
      </c>
    </row>
    <row r="190" spans="1:11" ht="15.6" x14ac:dyDescent="0.25">
      <c r="A190" s="7"/>
      <c r="B190" s="6"/>
      <c r="C190" s="11"/>
      <c r="D190" s="11"/>
      <c r="E190" s="1"/>
      <c r="F190" s="1"/>
      <c r="G190" s="5"/>
      <c r="H190" s="63">
        <f>G190*C181</f>
        <v>0</v>
      </c>
    </row>
    <row r="191" spans="1:11" ht="15.6" x14ac:dyDescent="0.25">
      <c r="A191" s="108" t="s">
        <v>348</v>
      </c>
      <c r="B191" s="73" t="s">
        <v>349</v>
      </c>
      <c r="C191" s="78"/>
      <c r="D191" s="78"/>
      <c r="E191" s="93"/>
      <c r="F191" s="93"/>
      <c r="G191" s="72"/>
      <c r="H191" s="63"/>
    </row>
    <row r="192" spans="1:11" ht="15.6" x14ac:dyDescent="0.25">
      <c r="A192" s="108"/>
      <c r="B192" s="73"/>
      <c r="C192" s="78"/>
      <c r="D192" s="78"/>
      <c r="E192" s="93"/>
      <c r="F192" s="93"/>
      <c r="G192" s="72"/>
      <c r="H192" s="63"/>
    </row>
    <row r="193" spans="1:8" ht="15.6" x14ac:dyDescent="0.25">
      <c r="A193" s="108" t="s">
        <v>350</v>
      </c>
      <c r="B193" s="73" t="s">
        <v>349</v>
      </c>
      <c r="C193" s="78"/>
      <c r="D193" s="78"/>
      <c r="E193" s="93"/>
      <c r="F193" s="93"/>
      <c r="G193" s="72"/>
      <c r="H193" s="63"/>
    </row>
    <row r="194" spans="1:8" ht="15.6" x14ac:dyDescent="0.25">
      <c r="A194" s="108"/>
      <c r="B194" s="73"/>
      <c r="C194" s="78"/>
      <c r="D194" s="78"/>
      <c r="E194" s="93"/>
      <c r="F194" s="93"/>
      <c r="G194" s="72"/>
      <c r="H194" s="63"/>
    </row>
    <row r="195" spans="1:8" ht="15.6" x14ac:dyDescent="0.25">
      <c r="A195" s="108" t="s">
        <v>352</v>
      </c>
      <c r="B195" s="73" t="s">
        <v>349</v>
      </c>
      <c r="C195" s="78"/>
      <c r="D195" s="78"/>
      <c r="E195" s="93"/>
      <c r="F195" s="93"/>
      <c r="G195" s="72"/>
      <c r="H195" s="63"/>
    </row>
    <row r="196" spans="1:8" ht="15.6" x14ac:dyDescent="0.25">
      <c r="A196" s="108"/>
      <c r="B196" s="73"/>
      <c r="C196" s="78"/>
      <c r="D196" s="78"/>
      <c r="E196" s="93"/>
      <c r="F196" s="93"/>
      <c r="G196" s="72"/>
      <c r="H196" s="63"/>
    </row>
    <row r="197" spans="1:8" ht="15.6" x14ac:dyDescent="0.25">
      <c r="A197" s="108" t="s">
        <v>351</v>
      </c>
      <c r="B197" s="73" t="s">
        <v>349</v>
      </c>
      <c r="C197" s="78"/>
      <c r="D197" s="78"/>
      <c r="E197" s="93"/>
      <c r="F197" s="93"/>
      <c r="G197" s="72"/>
      <c r="H197" s="63"/>
    </row>
    <row r="198" spans="1:8" ht="15.6" x14ac:dyDescent="0.25">
      <c r="A198" s="108"/>
      <c r="B198" s="73"/>
      <c r="C198" s="78"/>
      <c r="D198" s="78"/>
      <c r="E198" s="93"/>
      <c r="F198" s="93"/>
      <c r="G198" s="72"/>
      <c r="H198" s="63"/>
    </row>
    <row r="199" spans="1:8" ht="19.5" customHeight="1" x14ac:dyDescent="0.25">
      <c r="A199" s="108" t="s">
        <v>148</v>
      </c>
      <c r="B199" s="73" t="s">
        <v>28</v>
      </c>
      <c r="C199" s="78"/>
      <c r="D199" s="78"/>
      <c r="E199" s="93"/>
      <c r="F199" s="229"/>
      <c r="G199" s="102"/>
      <c r="H199" s="63"/>
    </row>
    <row r="200" spans="1:8" ht="19.5" customHeight="1" x14ac:dyDescent="0.25">
      <c r="A200" s="108" t="s">
        <v>149</v>
      </c>
      <c r="B200" s="73" t="s">
        <v>0</v>
      </c>
      <c r="C200" s="78"/>
      <c r="D200" s="78"/>
      <c r="E200" s="93"/>
      <c r="F200" s="229"/>
      <c r="G200" s="102"/>
      <c r="H200" s="63"/>
    </row>
    <row r="201" spans="1:8" ht="19.5" customHeight="1" x14ac:dyDescent="0.25">
      <c r="A201" s="108" t="s">
        <v>146</v>
      </c>
      <c r="B201" s="73" t="s">
        <v>0</v>
      </c>
      <c r="C201" s="78"/>
      <c r="D201" s="78"/>
      <c r="E201" s="93"/>
      <c r="F201" s="229"/>
      <c r="G201" s="102"/>
      <c r="H201" s="63"/>
    </row>
    <row r="202" spans="1:8" ht="19.5" customHeight="1" x14ac:dyDescent="0.25">
      <c r="A202" s="108" t="s">
        <v>147</v>
      </c>
      <c r="B202" s="73" t="s">
        <v>0</v>
      </c>
      <c r="C202" s="78"/>
      <c r="D202" s="78"/>
      <c r="E202" s="93"/>
      <c r="F202" s="229"/>
      <c r="G202" s="102"/>
      <c r="H202" s="63"/>
    </row>
    <row r="203" spans="1:8" ht="19.5" customHeight="1" x14ac:dyDescent="0.25">
      <c r="A203" s="108"/>
      <c r="B203" s="73"/>
      <c r="C203" s="78"/>
      <c r="D203" s="78"/>
      <c r="E203" s="93"/>
      <c r="F203" s="254"/>
      <c r="G203" s="102"/>
      <c r="H203" s="63"/>
    </row>
    <row r="204" spans="1:8" ht="19.5" customHeight="1" x14ac:dyDescent="0.25">
      <c r="A204" s="108" t="s">
        <v>354</v>
      </c>
      <c r="B204" s="73" t="s">
        <v>28</v>
      </c>
      <c r="C204" s="78"/>
      <c r="D204" s="78"/>
      <c r="E204" s="93"/>
      <c r="F204" s="254"/>
      <c r="G204" s="102"/>
      <c r="H204" s="63"/>
    </row>
    <row r="205" spans="1:8" ht="19.5" customHeight="1" x14ac:dyDescent="0.25">
      <c r="A205" s="108" t="s">
        <v>355</v>
      </c>
      <c r="B205" s="73" t="s">
        <v>0</v>
      </c>
      <c r="C205" s="78"/>
      <c r="D205" s="78"/>
      <c r="E205" s="93"/>
      <c r="F205" s="254"/>
      <c r="G205" s="102"/>
      <c r="H205" s="63"/>
    </row>
    <row r="206" spans="1:8" ht="19.5" customHeight="1" thickBot="1" x14ac:dyDescent="0.3">
      <c r="A206" s="108" t="s">
        <v>286</v>
      </c>
      <c r="B206" s="73" t="s">
        <v>0</v>
      </c>
      <c r="C206" s="78"/>
      <c r="D206" s="78"/>
      <c r="E206" s="93"/>
      <c r="F206" s="254"/>
      <c r="G206" s="102"/>
      <c r="H206" s="63"/>
    </row>
    <row r="207" spans="1:8" ht="19.5" customHeight="1" thickBot="1" x14ac:dyDescent="0.3">
      <c r="A207" s="82" t="s">
        <v>98</v>
      </c>
      <c r="B207" s="323"/>
      <c r="C207" s="324"/>
      <c r="D207" s="75" t="s">
        <v>99</v>
      </c>
      <c r="E207" s="317"/>
      <c r="F207" s="318"/>
      <c r="G207" s="104"/>
      <c r="H207" s="63">
        <f>G207*C184</f>
        <v>0</v>
      </c>
    </row>
    <row r="208" spans="1:8" ht="31.8" thickBot="1" x14ac:dyDescent="0.3">
      <c r="A208" s="29" t="s">
        <v>43</v>
      </c>
      <c r="B208" s="30" t="s">
        <v>58</v>
      </c>
      <c r="C208" s="30" t="s">
        <v>0</v>
      </c>
      <c r="D208" s="30" t="s">
        <v>64</v>
      </c>
      <c r="E208" s="48" t="s">
        <v>65</v>
      </c>
      <c r="F208" s="30" t="s">
        <v>101</v>
      </c>
      <c r="G208" s="1"/>
      <c r="H208" s="63">
        <f>G208*C185</f>
        <v>0</v>
      </c>
    </row>
    <row r="209" spans="1:8" ht="15.6" x14ac:dyDescent="0.25">
      <c r="A209" s="16" t="s">
        <v>43</v>
      </c>
      <c r="B209" s="14" t="s">
        <v>359</v>
      </c>
      <c r="C209" s="17">
        <v>1</v>
      </c>
      <c r="D209" s="308" t="s">
        <v>360</v>
      </c>
      <c r="E209" s="309"/>
      <c r="F209" s="310"/>
      <c r="G209" s="1"/>
      <c r="H209" s="63"/>
    </row>
    <row r="210" spans="1:8" ht="19.5" customHeight="1" x14ac:dyDescent="0.25">
      <c r="A210" s="16" t="s">
        <v>13</v>
      </c>
      <c r="B210" s="14" t="s">
        <v>0</v>
      </c>
      <c r="C210" s="17"/>
      <c r="D210" s="1"/>
      <c r="E210" s="52"/>
      <c r="F210" s="221"/>
      <c r="G210" s="1"/>
      <c r="H210" s="63"/>
    </row>
    <row r="211" spans="1:8" ht="19.5" customHeight="1" x14ac:dyDescent="0.25">
      <c r="A211" s="16" t="s">
        <v>294</v>
      </c>
      <c r="B211" s="14" t="s">
        <v>1</v>
      </c>
      <c r="C211" s="17"/>
      <c r="D211" s="1"/>
      <c r="E211" s="52"/>
      <c r="F211" s="221"/>
      <c r="G211" s="1"/>
      <c r="H211" s="63"/>
    </row>
    <row r="212" spans="1:8" ht="19.5" customHeight="1" thickBot="1" x14ac:dyDescent="0.3">
      <c r="A212" s="16" t="s">
        <v>16</v>
      </c>
      <c r="B212" s="14" t="s">
        <v>1</v>
      </c>
      <c r="C212" s="17">
        <v>2</v>
      </c>
      <c r="D212" s="1"/>
      <c r="E212" s="105"/>
      <c r="F212" s="230"/>
      <c r="G212" s="1"/>
      <c r="H212" s="63"/>
    </row>
    <row r="213" spans="1:8" ht="19.5" customHeight="1" thickBot="1" x14ac:dyDescent="0.3">
      <c r="A213" s="82" t="s">
        <v>98</v>
      </c>
      <c r="B213" s="323"/>
      <c r="C213" s="324"/>
      <c r="D213" s="75" t="s">
        <v>99</v>
      </c>
      <c r="E213" s="317"/>
      <c r="F213" s="318"/>
      <c r="G213" s="102"/>
      <c r="H213" s="63"/>
    </row>
    <row r="214" spans="1:8" ht="19.5" customHeight="1" thickBot="1" x14ac:dyDescent="0.3">
      <c r="A214" s="345"/>
      <c r="B214" s="346"/>
      <c r="C214" s="346"/>
      <c r="D214" s="346"/>
      <c r="E214" s="346"/>
      <c r="F214" s="346"/>
      <c r="G214" s="102"/>
      <c r="H214" s="63"/>
    </row>
    <row r="215" spans="1:8" ht="19.5" customHeight="1" thickBot="1" x14ac:dyDescent="0.3">
      <c r="A215" s="88" t="s">
        <v>102</v>
      </c>
      <c r="B215" s="347" t="s">
        <v>103</v>
      </c>
      <c r="C215" s="348"/>
      <c r="D215" s="106" t="s">
        <v>104</v>
      </c>
      <c r="E215" s="343"/>
      <c r="F215" s="344"/>
      <c r="G215" s="102"/>
      <c r="H215" s="63"/>
    </row>
    <row r="216" spans="1:8" ht="17.399999999999999" customHeight="1" x14ac:dyDescent="0.25">
      <c r="G216" s="5"/>
      <c r="H216" s="63">
        <f>G216*C207</f>
        <v>0</v>
      </c>
    </row>
    <row r="217" spans="1:8" ht="15.6" customHeight="1" x14ac:dyDescent="0.25">
      <c r="G217" s="62"/>
      <c r="H217" s="63"/>
    </row>
    <row r="218" spans="1:8" ht="15.6" x14ac:dyDescent="0.25">
      <c r="G218" s="65"/>
      <c r="H218" s="63" t="e">
        <f>G218*#REF!</f>
        <v>#REF!</v>
      </c>
    </row>
    <row r="219" spans="1:8" ht="15.75" customHeight="1" x14ac:dyDescent="0.25">
      <c r="G219" s="16"/>
      <c r="H219" s="63" t="e">
        <f>G219*#REF!</f>
        <v>#REF!</v>
      </c>
    </row>
    <row r="220" spans="1:8" ht="15.6" x14ac:dyDescent="0.25">
      <c r="G220" s="67"/>
      <c r="H220" s="63" t="e">
        <f>G220*#REF!</f>
        <v>#REF!</v>
      </c>
    </row>
    <row r="221" spans="1:8" ht="15.6" x14ac:dyDescent="0.25">
      <c r="G221" s="67"/>
      <c r="H221" s="63"/>
    </row>
    <row r="222" spans="1:8" ht="15.6" x14ac:dyDescent="0.25">
      <c r="G222" s="67"/>
      <c r="H222" s="63"/>
    </row>
    <row r="223" spans="1:8" s="10" customFormat="1" ht="15.6" x14ac:dyDescent="0.25">
      <c r="A223" s="3"/>
      <c r="B223" s="3"/>
      <c r="C223" s="2"/>
      <c r="D223" s="2"/>
      <c r="E223" s="3"/>
      <c r="F223" s="3"/>
      <c r="G223" s="67"/>
      <c r="H223" s="64" t="e">
        <f>G223*#REF!</f>
        <v>#REF!</v>
      </c>
    </row>
    <row r="224" spans="1:8" ht="15.6" x14ac:dyDescent="0.25">
      <c r="G224" s="67"/>
      <c r="H224" s="63">
        <f>G224*C211</f>
        <v>0</v>
      </c>
    </row>
    <row r="225" spans="7:8" ht="15.6" x14ac:dyDescent="0.25">
      <c r="G225" s="67"/>
      <c r="H225" s="63">
        <f>G225*C212</f>
        <v>0</v>
      </c>
    </row>
    <row r="226" spans="7:8" ht="15.6" customHeight="1" x14ac:dyDescent="0.25">
      <c r="G226" s="68"/>
      <c r="H226" s="56"/>
    </row>
    <row r="227" spans="7:8" ht="15.6" customHeight="1" x14ac:dyDescent="0.25">
      <c r="G227" s="90"/>
    </row>
    <row r="228" spans="7:8" ht="18.600000000000001" customHeight="1" thickBot="1" x14ac:dyDescent="0.3">
      <c r="G228" s="58" t="s">
        <v>79</v>
      </c>
      <c r="H228" s="59" t="e">
        <f>SUM(H46:H225)</f>
        <v>#REF!</v>
      </c>
    </row>
    <row r="229" spans="7:8" ht="15" customHeight="1" x14ac:dyDescent="0.25"/>
    <row r="245" ht="15.75" customHeight="1" x14ac:dyDescent="0.25"/>
    <row r="247" ht="15.75" customHeight="1" x14ac:dyDescent="0.25"/>
  </sheetData>
  <mergeCells count="36">
    <mergeCell ref="E215:F215"/>
    <mergeCell ref="A214:F214"/>
    <mergeCell ref="E25:F25"/>
    <mergeCell ref="E24:F24"/>
    <mergeCell ref="B215:C215"/>
    <mergeCell ref="B68:C68"/>
    <mergeCell ref="B130:C130"/>
    <mergeCell ref="B139:C139"/>
    <mergeCell ref="B162:C162"/>
    <mergeCell ref="B181:C181"/>
    <mergeCell ref="B213:C213"/>
    <mergeCell ref="E213:F213"/>
    <mergeCell ref="B207:C207"/>
    <mergeCell ref="E181:F181"/>
    <mergeCell ref="E139:F139"/>
    <mergeCell ref="E207:F207"/>
    <mergeCell ref="A7:A8"/>
    <mergeCell ref="D6:E6"/>
    <mergeCell ref="B120:C120"/>
    <mergeCell ref="B87:C87"/>
    <mergeCell ref="B25:C25"/>
    <mergeCell ref="B53:C53"/>
    <mergeCell ref="A9:F9"/>
    <mergeCell ref="A24:B24"/>
    <mergeCell ref="F1:F8"/>
    <mergeCell ref="A1:E1"/>
    <mergeCell ref="D38:E38"/>
    <mergeCell ref="D59:E59"/>
    <mergeCell ref="D60:E60"/>
    <mergeCell ref="D46:E47"/>
    <mergeCell ref="D209:F209"/>
    <mergeCell ref="B2:E2"/>
    <mergeCell ref="B3:E3"/>
    <mergeCell ref="B4:E4"/>
    <mergeCell ref="B5:E5"/>
    <mergeCell ref="E162:F162"/>
  </mergeCells>
  <phoneticPr fontId="14" type="noConversion"/>
  <conditionalFormatting sqref="D28:F28 D40:F45 D46 F46:F47 D48:F52">
    <cfRule type="cellIs" priority="5" operator="greaterThan">
      <formula>0</formula>
    </cfRule>
    <cfRule type="cellIs" dxfId="2" priority="6" operator="greaterThan">
      <formula>0</formula>
    </cfRule>
  </conditionalFormatting>
  <conditionalFormatting sqref="D31:F37 D38:D39 G53:G68 I53:XFD68">
    <cfRule type="cellIs" priority="1" operator="greaterThan">
      <formula>0</formula>
    </cfRule>
    <cfRule type="cellIs" dxfId="1" priority="2" operator="greaterThan">
      <formula>0</formula>
    </cfRule>
  </conditionalFormatting>
  <pageMargins left="0.70866141732283472" right="0.70866141732283472" top="1.3385826771653544" bottom="1.3385826771653544" header="0.31496062992125984" footer="0.31496062992125984"/>
  <pageSetup paperSize="9" scale="55" fitToHeight="0" orientation="portrait" r:id="rId1"/>
  <headerFooter>
    <oddHeader>&amp;L&amp;G&amp;C&amp;"Arial,Kalın"&amp;20ÇELİK BİNA
YÜKLEME LİSTESİ
FORMU&amp;R&amp;"Arial,Kalın"&amp;12www.ikranurprefabrik.com
TEL: 444 3 460
Fatih Mah, 832. Yanyol Sok,  No:40
Küçükçekmece/İSTANBUL</oddHeader>
    <oddFooter>&amp;R&amp;G</oddFooter>
  </headerFooter>
  <rowBreaks count="2" manualBreakCount="2">
    <brk id="87" max="5" man="1"/>
    <brk id="170" max="5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K138"/>
  <sheetViews>
    <sheetView tabSelected="1" showWhiteSpace="0" view="pageBreakPreview" zoomScale="85" zoomScaleNormal="85" zoomScaleSheetLayoutView="85" workbookViewId="0">
      <selection activeCell="D11" sqref="D11"/>
    </sheetView>
  </sheetViews>
  <sheetFormatPr defaultColWidth="9.109375" defaultRowHeight="13.2" x14ac:dyDescent="0.25"/>
  <cols>
    <col min="1" max="1" width="63.44140625" style="3" customWidth="1"/>
    <col min="2" max="2" width="29" style="3" customWidth="1"/>
    <col min="3" max="3" width="15.33203125" style="2" customWidth="1"/>
    <col min="4" max="4" width="22.88671875" style="2" customWidth="1"/>
    <col min="5" max="5" width="15.5546875" style="3" customWidth="1"/>
    <col min="6" max="6" width="25.5546875" style="3" customWidth="1"/>
    <col min="7" max="7" width="15.44140625" style="3" customWidth="1"/>
    <col min="8" max="8" width="15.109375" style="3" customWidth="1"/>
    <col min="9" max="9" width="9.109375" style="3" customWidth="1"/>
    <col min="10" max="16384" width="9.109375" style="3"/>
  </cols>
  <sheetData>
    <row r="1" spans="1:8" ht="25.2" customHeight="1" thickBot="1" x14ac:dyDescent="0.3">
      <c r="A1" s="330" t="s">
        <v>70</v>
      </c>
      <c r="B1" s="331"/>
      <c r="C1" s="331"/>
      <c r="D1" s="331"/>
      <c r="E1" s="332"/>
      <c r="F1" s="354"/>
      <c r="G1" s="38"/>
    </row>
    <row r="2" spans="1:8" ht="19.2" customHeight="1" thickBot="1" x14ac:dyDescent="0.3">
      <c r="A2" s="26" t="s">
        <v>51</v>
      </c>
      <c r="B2" s="453" t="s">
        <v>380</v>
      </c>
      <c r="C2" s="454"/>
      <c r="D2" s="454"/>
      <c r="E2" s="455"/>
      <c r="F2" s="355"/>
      <c r="G2" s="39"/>
    </row>
    <row r="3" spans="1:8" ht="19.2" customHeight="1" thickBot="1" x14ac:dyDescent="0.3">
      <c r="A3" s="26" t="s">
        <v>57</v>
      </c>
      <c r="B3" s="311"/>
      <c r="C3" s="312"/>
      <c r="D3" s="312"/>
      <c r="E3" s="313"/>
      <c r="F3" s="355"/>
      <c r="G3" s="40"/>
    </row>
    <row r="4" spans="1:8" ht="19.2" customHeight="1" thickBot="1" x14ac:dyDescent="0.3">
      <c r="A4" s="26" t="s">
        <v>52</v>
      </c>
      <c r="B4" s="314"/>
      <c r="C4" s="315"/>
      <c r="D4" s="315"/>
      <c r="E4" s="316"/>
      <c r="F4" s="355"/>
      <c r="G4" s="41"/>
    </row>
    <row r="5" spans="1:8" ht="19.2" customHeight="1" thickBot="1" x14ac:dyDescent="0.3">
      <c r="A5" s="26" t="s">
        <v>86</v>
      </c>
      <c r="B5" s="314"/>
      <c r="C5" s="315"/>
      <c r="D5" s="315"/>
      <c r="E5" s="316"/>
      <c r="F5" s="355"/>
      <c r="G5" s="41"/>
    </row>
    <row r="6" spans="1:8" ht="19.5" customHeight="1" thickBot="1" x14ac:dyDescent="0.3">
      <c r="A6" s="27" t="s">
        <v>68</v>
      </c>
      <c r="B6" s="37">
        <v>92</v>
      </c>
      <c r="C6" s="37" t="s">
        <v>92</v>
      </c>
      <c r="D6" s="314">
        <v>2500</v>
      </c>
      <c r="E6" s="316"/>
      <c r="F6" s="355"/>
      <c r="G6" s="42"/>
    </row>
    <row r="7" spans="1:8" ht="19.5" customHeight="1" thickBot="1" x14ac:dyDescent="0.3">
      <c r="A7" s="319" t="s">
        <v>53</v>
      </c>
      <c r="B7" s="28" t="s">
        <v>54</v>
      </c>
      <c r="C7" s="28" t="s">
        <v>55</v>
      </c>
      <c r="D7" s="28" t="s">
        <v>56</v>
      </c>
      <c r="E7" s="28" t="s">
        <v>55</v>
      </c>
      <c r="F7" s="355"/>
      <c r="G7" s="43"/>
    </row>
    <row r="8" spans="1:8" ht="19.5" customHeight="1" thickBot="1" x14ac:dyDescent="0.3">
      <c r="A8" s="357"/>
      <c r="B8" s="456" t="s">
        <v>405</v>
      </c>
      <c r="C8" s="83" t="s">
        <v>407</v>
      </c>
      <c r="D8" s="457"/>
      <c r="E8" s="83"/>
      <c r="F8" s="356"/>
      <c r="G8" s="44"/>
    </row>
    <row r="9" spans="1:8" ht="13.8" thickBot="1" x14ac:dyDescent="0.3">
      <c r="A9" s="353"/>
      <c r="B9" s="325"/>
      <c r="C9" s="325"/>
      <c r="D9" s="325"/>
      <c r="E9" s="325"/>
      <c r="F9" s="326"/>
    </row>
    <row r="10" spans="1:8" ht="31.2" x14ac:dyDescent="0.25">
      <c r="A10" s="297" t="s">
        <v>169</v>
      </c>
      <c r="B10" s="298" t="s">
        <v>58</v>
      </c>
      <c r="C10" s="298" t="s">
        <v>0</v>
      </c>
      <c r="D10" s="298"/>
      <c r="E10" s="299"/>
      <c r="F10" s="55" t="s">
        <v>101</v>
      </c>
      <c r="G10" s="54" t="s">
        <v>74</v>
      </c>
      <c r="H10" s="55" t="s">
        <v>78</v>
      </c>
    </row>
    <row r="11" spans="1:8" ht="31.2" x14ac:dyDescent="0.25">
      <c r="A11" s="300" t="s">
        <v>386</v>
      </c>
      <c r="B11" s="17" t="s">
        <v>387</v>
      </c>
      <c r="C11" s="301">
        <v>2</v>
      </c>
      <c r="D11" s="17"/>
      <c r="E11" s="17"/>
      <c r="F11" s="17"/>
      <c r="G11" s="296"/>
      <c r="H11" s="295"/>
    </row>
    <row r="12" spans="1:8" ht="16.2" customHeight="1" x14ac:dyDescent="0.25">
      <c r="A12" s="7" t="s">
        <v>170</v>
      </c>
      <c r="B12" s="5" t="s">
        <v>171</v>
      </c>
      <c r="C12" s="292">
        <v>16</v>
      </c>
      <c r="D12" s="15"/>
      <c r="E12" s="120"/>
      <c r="F12" s="15"/>
      <c r="G12" s="57"/>
      <c r="H12" s="56"/>
    </row>
    <row r="13" spans="1:8" ht="18.600000000000001" customHeight="1" x14ac:dyDescent="0.25">
      <c r="A13" s="7" t="s">
        <v>170</v>
      </c>
      <c r="B13" s="5" t="s">
        <v>381</v>
      </c>
      <c r="C13" s="293">
        <v>1</v>
      </c>
      <c r="D13" s="15"/>
      <c r="E13" s="120"/>
      <c r="F13" s="15"/>
      <c r="G13" s="57"/>
      <c r="H13" s="56"/>
    </row>
    <row r="14" spans="1:8" ht="18" customHeight="1" x14ac:dyDescent="0.25">
      <c r="A14" s="7" t="s">
        <v>170</v>
      </c>
      <c r="B14" s="5" t="s">
        <v>172</v>
      </c>
      <c r="C14" s="293">
        <v>4</v>
      </c>
      <c r="D14" s="15"/>
      <c r="E14" s="120"/>
      <c r="F14" s="15"/>
      <c r="G14" s="57"/>
      <c r="H14" s="56"/>
    </row>
    <row r="15" spans="1:8" ht="18.600000000000001" customHeight="1" x14ac:dyDescent="0.25">
      <c r="A15" s="16"/>
      <c r="B15" s="15"/>
      <c r="C15" s="17"/>
      <c r="D15" s="15"/>
      <c r="E15" s="120"/>
      <c r="F15" s="15"/>
      <c r="G15" s="57"/>
      <c r="H15" s="56"/>
    </row>
    <row r="16" spans="1:8" ht="15.6" x14ac:dyDescent="0.25">
      <c r="A16" s="7" t="s">
        <v>173</v>
      </c>
      <c r="B16" s="5" t="s">
        <v>171</v>
      </c>
      <c r="C16" s="293">
        <v>2</v>
      </c>
      <c r="D16" s="15"/>
      <c r="E16" s="120"/>
      <c r="F16" s="15"/>
      <c r="G16" s="57"/>
      <c r="H16" s="56"/>
    </row>
    <row r="17" spans="1:8" ht="18.600000000000001" customHeight="1" x14ac:dyDescent="0.25">
      <c r="A17" s="16"/>
      <c r="B17" s="15"/>
      <c r="C17" s="17"/>
      <c r="D17" s="3"/>
      <c r="E17" s="120"/>
      <c r="F17" s="15"/>
      <c r="G17" s="57"/>
      <c r="H17" s="56"/>
    </row>
    <row r="18" spans="1:8" ht="18.600000000000001" customHeight="1" x14ac:dyDescent="0.25">
      <c r="A18" s="108" t="s">
        <v>174</v>
      </c>
      <c r="B18" s="5" t="s">
        <v>175</v>
      </c>
      <c r="C18" s="293">
        <v>11</v>
      </c>
      <c r="D18" s="15"/>
      <c r="E18" s="120"/>
      <c r="F18" s="15"/>
      <c r="G18" s="57"/>
      <c r="H18" s="56"/>
    </row>
    <row r="19" spans="1:8" ht="18.600000000000001" customHeight="1" x14ac:dyDescent="0.25">
      <c r="A19" s="108" t="s">
        <v>174</v>
      </c>
      <c r="B19" s="5" t="s">
        <v>382</v>
      </c>
      <c r="C19" s="293">
        <v>4</v>
      </c>
      <c r="D19" s="15"/>
      <c r="E19" s="120"/>
      <c r="F19" s="15"/>
      <c r="G19" s="57"/>
      <c r="H19" s="56"/>
    </row>
    <row r="20" spans="1:8" ht="18.600000000000001" customHeight="1" x14ac:dyDescent="0.25">
      <c r="A20" s="108" t="s">
        <v>174</v>
      </c>
      <c r="B20" s="5" t="s">
        <v>383</v>
      </c>
      <c r="C20" s="293">
        <v>2</v>
      </c>
      <c r="D20" s="15"/>
      <c r="E20" s="120"/>
      <c r="F20" s="15"/>
      <c r="G20" s="57"/>
      <c r="H20" s="56"/>
    </row>
    <row r="21" spans="1:8" ht="21.6" customHeight="1" x14ac:dyDescent="0.25">
      <c r="A21" s="108" t="s">
        <v>174</v>
      </c>
      <c r="B21" s="5" t="s">
        <v>384</v>
      </c>
      <c r="C21" s="293">
        <v>1</v>
      </c>
      <c r="D21" s="15"/>
      <c r="E21" s="120"/>
      <c r="F21" s="15"/>
      <c r="G21" s="57"/>
      <c r="H21" s="56"/>
    </row>
    <row r="22" spans="1:8" ht="18.600000000000001" customHeight="1" x14ac:dyDescent="0.25">
      <c r="A22" s="108" t="s">
        <v>174</v>
      </c>
      <c r="B22" s="5" t="s">
        <v>385</v>
      </c>
      <c r="C22" s="293">
        <v>1</v>
      </c>
      <c r="D22" s="15"/>
      <c r="E22" s="120"/>
      <c r="F22" s="15"/>
      <c r="G22" s="57"/>
      <c r="H22" s="56"/>
    </row>
    <row r="23" spans="1:8" ht="18.600000000000001" customHeight="1" x14ac:dyDescent="0.25">
      <c r="A23" s="16"/>
      <c r="B23" s="15"/>
      <c r="C23" s="17"/>
      <c r="D23" s="15"/>
      <c r="E23" s="120"/>
      <c r="F23" s="15"/>
      <c r="G23" s="57"/>
      <c r="H23" s="56"/>
    </row>
    <row r="24" spans="1:8" ht="18.600000000000001" customHeight="1" x14ac:dyDescent="0.25">
      <c r="A24" s="7" t="s">
        <v>176</v>
      </c>
      <c r="B24" s="5" t="s">
        <v>177</v>
      </c>
      <c r="C24" s="293">
        <v>4</v>
      </c>
      <c r="D24" s="15"/>
      <c r="E24" s="120"/>
      <c r="F24" s="15"/>
      <c r="G24" s="57"/>
      <c r="H24" s="56"/>
    </row>
    <row r="25" spans="1:8" ht="21.6" customHeight="1" x14ac:dyDescent="0.25">
      <c r="A25" s="7"/>
      <c r="B25" s="5"/>
      <c r="C25" s="34"/>
      <c r="D25" s="15"/>
      <c r="E25" s="47"/>
      <c r="F25" s="15"/>
      <c r="G25" s="1"/>
      <c r="H25" s="56"/>
    </row>
    <row r="26" spans="1:8" ht="15.6" x14ac:dyDescent="0.25">
      <c r="A26" s="7" t="s">
        <v>178</v>
      </c>
      <c r="B26" s="5" t="s">
        <v>179</v>
      </c>
      <c r="C26" s="293">
        <v>3</v>
      </c>
      <c r="D26" s="15"/>
      <c r="E26" s="47"/>
      <c r="F26" s="15"/>
      <c r="G26" s="1"/>
      <c r="H26" s="56"/>
    </row>
    <row r="27" spans="1:8" ht="15.6" x14ac:dyDescent="0.25">
      <c r="A27" s="7" t="s">
        <v>180</v>
      </c>
      <c r="B27" s="5" t="s">
        <v>181</v>
      </c>
      <c r="C27" s="293">
        <v>1</v>
      </c>
      <c r="D27" s="15"/>
      <c r="E27" s="47"/>
      <c r="F27" s="15"/>
      <c r="G27" s="1"/>
      <c r="H27" s="56"/>
    </row>
    <row r="28" spans="1:8" ht="15.6" x14ac:dyDescent="0.25">
      <c r="A28" s="7"/>
      <c r="B28" s="5"/>
      <c r="C28" s="34"/>
      <c r="D28" s="15"/>
      <c r="E28" s="47"/>
      <c r="F28" s="15"/>
      <c r="G28" s="1"/>
      <c r="H28" s="56"/>
    </row>
    <row r="29" spans="1:8" ht="15.6" x14ac:dyDescent="0.25">
      <c r="A29" s="7" t="s">
        <v>211</v>
      </c>
      <c r="B29" s="5" t="s">
        <v>171</v>
      </c>
      <c r="C29" s="293">
        <v>1</v>
      </c>
      <c r="D29" s="15"/>
      <c r="E29" s="120"/>
      <c r="F29" s="15"/>
      <c r="G29" s="1"/>
      <c r="H29" s="56"/>
    </row>
    <row r="30" spans="1:8" ht="15.6" x14ac:dyDescent="0.25">
      <c r="A30" s="16"/>
      <c r="B30" s="15"/>
      <c r="C30" s="15"/>
      <c r="D30" s="15"/>
      <c r="E30" s="47"/>
      <c r="F30" s="15"/>
      <c r="G30" s="1"/>
      <c r="H30" s="56"/>
    </row>
    <row r="31" spans="1:8" ht="15.6" x14ac:dyDescent="0.25">
      <c r="A31" s="108" t="s">
        <v>212</v>
      </c>
      <c r="B31" s="5" t="s">
        <v>175</v>
      </c>
      <c r="C31" s="293">
        <v>5</v>
      </c>
      <c r="D31" s="23"/>
      <c r="E31" s="25"/>
      <c r="F31" s="15"/>
      <c r="G31" s="1"/>
      <c r="H31" s="56"/>
    </row>
    <row r="32" spans="1:8" ht="21.6" customHeight="1" thickBot="1" x14ac:dyDescent="0.3">
      <c r="A32" s="108" t="s">
        <v>212</v>
      </c>
      <c r="B32" s="71" t="s">
        <v>225</v>
      </c>
      <c r="C32" s="294">
        <v>1</v>
      </c>
      <c r="D32" s="23"/>
      <c r="E32" s="25"/>
      <c r="F32" s="23"/>
      <c r="G32" s="1"/>
      <c r="H32" s="56"/>
    </row>
    <row r="33" spans="1:8" ht="31.8" thickBot="1" x14ac:dyDescent="0.3">
      <c r="A33" s="29" t="s">
        <v>60</v>
      </c>
      <c r="B33" s="30" t="s">
        <v>69</v>
      </c>
      <c r="C33" s="30" t="s">
        <v>0</v>
      </c>
      <c r="D33" s="30"/>
      <c r="E33" s="48"/>
      <c r="F33" s="30" t="s">
        <v>101</v>
      </c>
      <c r="G33" s="62"/>
      <c r="H33" s="56"/>
    </row>
    <row r="34" spans="1:8" ht="15.6" x14ac:dyDescent="0.25">
      <c r="A34" s="7" t="s">
        <v>182</v>
      </c>
      <c r="B34" s="5" t="s">
        <v>183</v>
      </c>
      <c r="C34" s="293">
        <v>6</v>
      </c>
      <c r="D34" s="12"/>
      <c r="E34" s="49"/>
      <c r="F34" s="245"/>
      <c r="G34" s="12"/>
      <c r="H34" s="63">
        <f>G34*C34</f>
        <v>0</v>
      </c>
    </row>
    <row r="35" spans="1:8" ht="15.6" x14ac:dyDescent="0.25">
      <c r="A35" s="7" t="s">
        <v>182</v>
      </c>
      <c r="B35" s="5" t="s">
        <v>184</v>
      </c>
      <c r="C35" s="293">
        <v>2</v>
      </c>
      <c r="D35" s="15"/>
      <c r="E35" s="45"/>
      <c r="F35" s="239"/>
      <c r="G35" s="15"/>
      <c r="H35" s="63">
        <f t="shared" ref="H35:H92" si="0">G35*C35</f>
        <v>0</v>
      </c>
    </row>
    <row r="36" spans="1:8" ht="15.6" x14ac:dyDescent="0.25">
      <c r="A36" s="112"/>
      <c r="B36" s="36"/>
      <c r="C36" s="12"/>
      <c r="D36" s="12"/>
      <c r="E36" s="49"/>
      <c r="F36" s="245"/>
      <c r="G36" s="15"/>
      <c r="H36" s="63">
        <f t="shared" si="0"/>
        <v>0</v>
      </c>
    </row>
    <row r="37" spans="1:8" ht="15.6" x14ac:dyDescent="0.25">
      <c r="A37" s="7" t="s">
        <v>87</v>
      </c>
      <c r="B37" s="5" t="s">
        <v>76</v>
      </c>
      <c r="C37" s="301">
        <v>7</v>
      </c>
      <c r="D37" s="69"/>
      <c r="E37" s="49"/>
      <c r="F37" s="245"/>
      <c r="G37" s="12"/>
      <c r="H37" s="63">
        <f t="shared" si="0"/>
        <v>0</v>
      </c>
    </row>
    <row r="38" spans="1:8" ht="15.6" x14ac:dyDescent="0.25">
      <c r="A38" s="16"/>
      <c r="B38" s="15"/>
      <c r="C38" s="12"/>
      <c r="D38" s="69"/>
      <c r="E38" s="49"/>
      <c r="F38" s="245"/>
      <c r="G38" s="12"/>
      <c r="H38" s="63"/>
    </row>
    <row r="39" spans="1:8" ht="15.6" x14ac:dyDescent="0.25">
      <c r="A39" s="7" t="s">
        <v>185</v>
      </c>
      <c r="B39" s="5" t="s">
        <v>391</v>
      </c>
      <c r="C39" s="302">
        <v>1</v>
      </c>
      <c r="D39" s="69"/>
      <c r="E39" s="49"/>
      <c r="F39" s="245"/>
      <c r="G39" s="12"/>
      <c r="H39" s="63"/>
    </row>
    <row r="40" spans="1:8" ht="15.6" x14ac:dyDescent="0.25">
      <c r="A40" s="7" t="s">
        <v>185</v>
      </c>
      <c r="B40" s="5" t="s">
        <v>390</v>
      </c>
      <c r="C40" s="302">
        <v>1</v>
      </c>
      <c r="D40" s="69"/>
      <c r="E40" s="49"/>
      <c r="F40" s="245"/>
      <c r="G40" s="12"/>
      <c r="H40" s="63"/>
    </row>
    <row r="41" spans="1:8" ht="15.6" x14ac:dyDescent="0.25">
      <c r="A41" s="7" t="s">
        <v>185</v>
      </c>
      <c r="B41" s="5" t="s">
        <v>389</v>
      </c>
      <c r="C41" s="302">
        <v>1</v>
      </c>
      <c r="D41" s="69"/>
      <c r="E41" s="49"/>
      <c r="F41" s="245"/>
      <c r="G41" s="12"/>
      <c r="H41" s="63"/>
    </row>
    <row r="42" spans="1:8" ht="15.6" x14ac:dyDescent="0.25">
      <c r="A42" s="7" t="s">
        <v>388</v>
      </c>
      <c r="B42" s="5" t="s">
        <v>186</v>
      </c>
      <c r="C42" s="293">
        <v>2</v>
      </c>
      <c r="D42" s="12"/>
      <c r="E42" s="49"/>
      <c r="F42" s="245"/>
      <c r="G42" s="12"/>
      <c r="H42" s="63"/>
    </row>
    <row r="43" spans="1:8" ht="21.6" customHeight="1" x14ac:dyDescent="0.25">
      <c r="A43" s="7" t="s">
        <v>187</v>
      </c>
      <c r="B43" s="5" t="s">
        <v>0</v>
      </c>
      <c r="C43" s="301">
        <v>6</v>
      </c>
      <c r="D43" s="12"/>
      <c r="E43" s="49"/>
      <c r="F43" s="245"/>
      <c r="G43" s="12"/>
      <c r="H43" s="63"/>
    </row>
    <row r="44" spans="1:8" ht="15.6" x14ac:dyDescent="0.25">
      <c r="A44" s="7"/>
      <c r="B44" s="72"/>
      <c r="C44" s="17"/>
      <c r="D44" s="12"/>
      <c r="E44" s="49"/>
      <c r="F44" s="245"/>
      <c r="G44" s="12"/>
      <c r="H44" s="63"/>
    </row>
    <row r="45" spans="1:8" ht="15.6" x14ac:dyDescent="0.25">
      <c r="A45" s="7" t="s">
        <v>188</v>
      </c>
      <c r="B45" s="72" t="s">
        <v>186</v>
      </c>
      <c r="C45" s="293">
        <v>13</v>
      </c>
      <c r="D45" s="12"/>
      <c r="E45" s="49"/>
      <c r="F45" s="245"/>
      <c r="G45" s="12"/>
      <c r="H45" s="63"/>
    </row>
    <row r="46" spans="1:8" ht="15.6" x14ac:dyDescent="0.25">
      <c r="A46" s="7" t="s">
        <v>189</v>
      </c>
      <c r="B46" s="72" t="s">
        <v>186</v>
      </c>
      <c r="C46" s="293">
        <v>6</v>
      </c>
      <c r="D46" s="12"/>
      <c r="E46" s="49"/>
      <c r="F46" s="245"/>
      <c r="G46" s="12"/>
      <c r="H46" s="63"/>
    </row>
    <row r="47" spans="1:8" ht="15.6" x14ac:dyDescent="0.25">
      <c r="A47" s="7" t="s">
        <v>190</v>
      </c>
      <c r="B47" s="72" t="s">
        <v>191</v>
      </c>
      <c r="C47" s="293">
        <v>4</v>
      </c>
      <c r="D47" s="12"/>
      <c r="E47" s="49"/>
      <c r="F47" s="245"/>
      <c r="G47" s="12"/>
      <c r="H47" s="63"/>
    </row>
    <row r="48" spans="1:8" ht="21.6" customHeight="1" x14ac:dyDescent="0.25">
      <c r="A48" s="7" t="s">
        <v>192</v>
      </c>
      <c r="B48" s="72" t="s">
        <v>193</v>
      </c>
      <c r="C48" s="293">
        <v>3</v>
      </c>
      <c r="D48" s="12"/>
      <c r="E48" s="49"/>
      <c r="F48" s="245"/>
      <c r="G48" s="12"/>
      <c r="H48" s="63"/>
    </row>
    <row r="49" spans="1:8" ht="15.6" x14ac:dyDescent="0.25">
      <c r="A49" s="7" t="s">
        <v>194</v>
      </c>
      <c r="B49" s="72" t="s">
        <v>193</v>
      </c>
      <c r="C49" s="293">
        <v>2</v>
      </c>
      <c r="D49" s="12"/>
      <c r="E49" s="49"/>
      <c r="F49" s="245"/>
      <c r="G49" s="12"/>
      <c r="H49" s="63"/>
    </row>
    <row r="50" spans="1:8" ht="15.6" x14ac:dyDescent="0.25">
      <c r="A50" s="7" t="s">
        <v>195</v>
      </c>
      <c r="B50" s="72" t="s">
        <v>377</v>
      </c>
      <c r="C50" s="293">
        <v>13</v>
      </c>
      <c r="D50" s="12"/>
      <c r="E50" s="49"/>
      <c r="F50" s="245"/>
      <c r="G50" s="12"/>
      <c r="H50" s="63"/>
    </row>
    <row r="51" spans="1:8" ht="15.6" x14ac:dyDescent="0.25">
      <c r="A51" s="7"/>
      <c r="B51" s="5"/>
      <c r="C51" s="34"/>
      <c r="D51" s="12"/>
      <c r="E51" s="49"/>
      <c r="F51" s="245"/>
      <c r="G51" s="12"/>
      <c r="H51" s="63"/>
    </row>
    <row r="52" spans="1:8" ht="15.6" x14ac:dyDescent="0.25">
      <c r="A52" s="7" t="s">
        <v>196</v>
      </c>
      <c r="B52" s="6" t="s">
        <v>197</v>
      </c>
      <c r="C52" s="293">
        <v>2</v>
      </c>
      <c r="D52" s="12"/>
      <c r="E52" s="49"/>
      <c r="F52" s="245"/>
      <c r="G52" s="12"/>
      <c r="H52" s="63"/>
    </row>
    <row r="53" spans="1:8" ht="15.6" x14ac:dyDescent="0.25">
      <c r="A53" s="7"/>
      <c r="B53" s="5"/>
      <c r="C53" s="34"/>
      <c r="D53" s="12"/>
      <c r="E53" s="49"/>
      <c r="F53" s="245"/>
      <c r="G53" s="12"/>
      <c r="H53" s="63"/>
    </row>
    <row r="54" spans="1:8" ht="15.6" x14ac:dyDescent="0.25">
      <c r="A54" s="7" t="s">
        <v>198</v>
      </c>
      <c r="B54" s="6" t="s">
        <v>199</v>
      </c>
      <c r="C54" s="293">
        <v>4</v>
      </c>
      <c r="D54" s="12"/>
      <c r="E54" s="49"/>
      <c r="F54" s="245"/>
      <c r="G54" s="12"/>
      <c r="H54" s="63"/>
    </row>
    <row r="55" spans="1:8" ht="15.6" x14ac:dyDescent="0.25">
      <c r="A55" s="7" t="s">
        <v>200</v>
      </c>
      <c r="B55" s="5" t="s">
        <v>76</v>
      </c>
      <c r="C55" s="293">
        <v>5</v>
      </c>
      <c r="D55" s="12"/>
      <c r="E55" s="49"/>
      <c r="F55" s="245"/>
      <c r="G55" s="12"/>
      <c r="H55" s="63"/>
    </row>
    <row r="56" spans="1:8" ht="15.6" x14ac:dyDescent="0.25">
      <c r="A56" s="7"/>
      <c r="B56" s="5"/>
      <c r="C56" s="34"/>
      <c r="D56" s="12"/>
      <c r="E56" s="49"/>
      <c r="F56" s="245"/>
      <c r="G56" s="12"/>
      <c r="H56" s="63"/>
    </row>
    <row r="57" spans="1:8" ht="15.6" x14ac:dyDescent="0.25">
      <c r="A57" s="108" t="s">
        <v>88</v>
      </c>
      <c r="B57" s="6" t="s">
        <v>89</v>
      </c>
      <c r="C57" s="293">
        <v>50</v>
      </c>
      <c r="D57" s="12"/>
      <c r="E57" s="49"/>
      <c r="F57" s="245"/>
      <c r="G57" s="12"/>
      <c r="H57" s="63"/>
    </row>
    <row r="58" spans="1:8" s="10" customFormat="1" ht="21.6" customHeight="1" x14ac:dyDescent="0.25">
      <c r="A58" s="108" t="s">
        <v>94</v>
      </c>
      <c r="B58" s="6" t="s">
        <v>85</v>
      </c>
      <c r="C58" s="293">
        <v>3</v>
      </c>
      <c r="D58" s="12"/>
      <c r="E58" s="49"/>
      <c r="F58" s="245"/>
      <c r="G58" s="12"/>
      <c r="H58" s="63"/>
    </row>
    <row r="59" spans="1:8" ht="15.6" x14ac:dyDescent="0.25">
      <c r="A59" s="7"/>
      <c r="B59" s="5"/>
      <c r="C59" s="34"/>
      <c r="D59" s="12"/>
      <c r="E59" s="49"/>
      <c r="F59" s="245"/>
      <c r="G59" s="12"/>
      <c r="H59" s="63"/>
    </row>
    <row r="60" spans="1:8" ht="20.399999999999999" customHeight="1" x14ac:dyDescent="0.25">
      <c r="A60" s="7" t="s">
        <v>90</v>
      </c>
      <c r="B60" s="6" t="s">
        <v>85</v>
      </c>
      <c r="C60" s="293">
        <v>14</v>
      </c>
      <c r="D60" s="69"/>
      <c r="E60" s="49"/>
      <c r="F60" s="245"/>
      <c r="G60" s="12"/>
      <c r="H60" s="63"/>
    </row>
    <row r="61" spans="1:8" ht="20.399999999999999" customHeight="1" x14ac:dyDescent="0.25">
      <c r="A61" s="7" t="s">
        <v>392</v>
      </c>
      <c r="B61" s="6" t="s">
        <v>301</v>
      </c>
      <c r="C61" s="293">
        <v>16</v>
      </c>
      <c r="D61" s="69"/>
      <c r="E61" s="49"/>
      <c r="F61" s="245"/>
      <c r="G61" s="12"/>
      <c r="H61" s="63"/>
    </row>
    <row r="62" spans="1:8" ht="16.2" customHeight="1" x14ac:dyDescent="0.25">
      <c r="A62" s="7"/>
      <c r="B62" s="6"/>
      <c r="C62" s="34"/>
      <c r="D62" s="12"/>
      <c r="E62" s="49"/>
      <c r="F62" s="245"/>
      <c r="G62" s="12"/>
      <c r="H62" s="63"/>
    </row>
    <row r="63" spans="1:8" ht="16.2" customHeight="1" x14ac:dyDescent="0.25">
      <c r="A63" s="7" t="s">
        <v>394</v>
      </c>
      <c r="B63" s="6" t="s">
        <v>301</v>
      </c>
      <c r="C63" s="293">
        <v>1</v>
      </c>
      <c r="D63" s="12"/>
      <c r="E63" s="49"/>
      <c r="F63" s="245"/>
      <c r="G63" s="12"/>
      <c r="H63" s="63"/>
    </row>
    <row r="64" spans="1:8" ht="16.2" customHeight="1" x14ac:dyDescent="0.25">
      <c r="A64" s="7" t="s">
        <v>393</v>
      </c>
      <c r="B64" s="6" t="s">
        <v>301</v>
      </c>
      <c r="C64" s="293">
        <v>9</v>
      </c>
      <c r="D64" s="12"/>
      <c r="E64" s="49"/>
      <c r="F64" s="245"/>
      <c r="G64" s="12"/>
      <c r="H64" s="63"/>
    </row>
    <row r="65" spans="1:8" ht="16.2" customHeight="1" x14ac:dyDescent="0.25">
      <c r="A65" s="7"/>
      <c r="B65" s="6"/>
      <c r="C65" s="34"/>
      <c r="D65" s="12"/>
      <c r="E65" s="49"/>
      <c r="F65" s="245"/>
      <c r="G65" s="12"/>
      <c r="H65" s="63"/>
    </row>
    <row r="66" spans="1:8" ht="15.6" x14ac:dyDescent="0.25">
      <c r="A66" s="7" t="s">
        <v>201</v>
      </c>
      <c r="B66" s="15" t="s">
        <v>76</v>
      </c>
      <c r="C66" s="301">
        <v>7</v>
      </c>
      <c r="D66" s="12"/>
      <c r="E66" s="49"/>
      <c r="F66" s="245"/>
      <c r="G66" s="12"/>
      <c r="H66" s="63"/>
    </row>
    <row r="67" spans="1:8" ht="15.6" x14ac:dyDescent="0.25">
      <c r="A67" s="7" t="s">
        <v>202</v>
      </c>
      <c r="B67" s="15" t="s">
        <v>22</v>
      </c>
      <c r="C67" s="301">
        <v>8</v>
      </c>
      <c r="D67" s="12"/>
      <c r="E67" s="49"/>
      <c r="F67" s="245"/>
      <c r="G67" s="12"/>
      <c r="H67" s="63"/>
    </row>
    <row r="68" spans="1:8" ht="15.6" x14ac:dyDescent="0.25">
      <c r="A68" s="7" t="s">
        <v>203</v>
      </c>
      <c r="B68" s="15" t="s">
        <v>91</v>
      </c>
      <c r="C68" s="293">
        <v>6</v>
      </c>
      <c r="D68" s="12"/>
      <c r="E68" s="49"/>
      <c r="F68" s="245"/>
      <c r="G68" s="12"/>
      <c r="H68" s="63"/>
    </row>
    <row r="69" spans="1:8" ht="15.6" x14ac:dyDescent="0.25">
      <c r="A69" s="7"/>
      <c r="B69" s="6"/>
      <c r="C69" s="34"/>
      <c r="D69" s="12"/>
      <c r="E69" s="49"/>
      <c r="F69" s="245"/>
      <c r="G69" s="12"/>
      <c r="H69" s="63"/>
    </row>
    <row r="70" spans="1:8" ht="15.6" x14ac:dyDescent="0.25">
      <c r="A70" s="7" t="s">
        <v>204</v>
      </c>
      <c r="B70" s="6" t="s">
        <v>205</v>
      </c>
      <c r="C70" s="293">
        <v>11</v>
      </c>
      <c r="D70" s="12"/>
      <c r="E70" s="52"/>
      <c r="F70" s="245"/>
      <c r="G70" s="12"/>
      <c r="H70" s="63"/>
    </row>
    <row r="71" spans="1:8" ht="18" customHeight="1" thickBot="1" x14ac:dyDescent="0.3">
      <c r="A71" s="7" t="s">
        <v>206</v>
      </c>
      <c r="B71" s="6" t="s">
        <v>297</v>
      </c>
      <c r="C71" s="293">
        <v>12</v>
      </c>
      <c r="D71" s="12"/>
      <c r="E71" s="52"/>
      <c r="F71" s="245"/>
      <c r="G71" s="12"/>
      <c r="H71" s="63"/>
    </row>
    <row r="72" spans="1:8" ht="30" customHeight="1" thickBot="1" x14ac:dyDescent="0.3">
      <c r="A72" s="29" t="s">
        <v>126</v>
      </c>
      <c r="B72" s="30" t="s">
        <v>58</v>
      </c>
      <c r="C72" s="30" t="s">
        <v>0</v>
      </c>
      <c r="D72" s="30"/>
      <c r="E72" s="48"/>
      <c r="F72" s="30" t="s">
        <v>101</v>
      </c>
      <c r="G72" s="12"/>
      <c r="H72" s="63"/>
    </row>
    <row r="73" spans="1:8" ht="21" customHeight="1" thickBot="1" x14ac:dyDescent="0.3">
      <c r="A73" s="7" t="s">
        <v>207</v>
      </c>
      <c r="B73" s="123" t="s">
        <v>270</v>
      </c>
      <c r="C73" s="301">
        <v>52</v>
      </c>
      <c r="D73" s="15"/>
      <c r="E73" s="124"/>
      <c r="F73" s="244"/>
      <c r="G73" s="12"/>
      <c r="H73" s="63"/>
    </row>
    <row r="74" spans="1:8" ht="15.75" customHeight="1" thickBot="1" x14ac:dyDescent="0.3">
      <c r="A74" s="29" t="s">
        <v>63</v>
      </c>
      <c r="B74" s="30" t="s">
        <v>58</v>
      </c>
      <c r="C74" s="30" t="s">
        <v>0</v>
      </c>
      <c r="D74" s="30"/>
      <c r="E74" s="48"/>
      <c r="F74" s="30" t="s">
        <v>101</v>
      </c>
      <c r="G74" s="62"/>
      <c r="H74" s="63"/>
    </row>
    <row r="75" spans="1:8" ht="15.75" customHeight="1" x14ac:dyDescent="0.25">
      <c r="A75" s="16" t="s">
        <v>395</v>
      </c>
      <c r="B75" s="15" t="s">
        <v>398</v>
      </c>
      <c r="C75" s="301">
        <v>30</v>
      </c>
      <c r="D75" s="15"/>
      <c r="E75" s="45"/>
      <c r="F75" s="234"/>
      <c r="G75" s="15"/>
      <c r="H75" s="63"/>
    </row>
    <row r="76" spans="1:8" ht="15.75" customHeight="1" x14ac:dyDescent="0.25">
      <c r="A76" s="16" t="s">
        <v>396</v>
      </c>
      <c r="B76" s="15" t="s">
        <v>139</v>
      </c>
      <c r="C76" s="301">
        <v>6</v>
      </c>
      <c r="D76" s="15"/>
      <c r="E76" s="15"/>
      <c r="F76" s="239"/>
      <c r="G76" s="15"/>
      <c r="H76" s="63"/>
    </row>
    <row r="77" spans="1:8" ht="15.75" customHeight="1" x14ac:dyDescent="0.25">
      <c r="A77" s="16" t="s">
        <v>397</v>
      </c>
      <c r="B77" s="15" t="s">
        <v>289</v>
      </c>
      <c r="C77" s="301">
        <v>16</v>
      </c>
      <c r="D77" s="15"/>
      <c r="E77" s="15"/>
      <c r="F77" s="239"/>
      <c r="G77" s="15"/>
      <c r="H77" s="63"/>
    </row>
    <row r="78" spans="1:8" ht="15.75" customHeight="1" x14ac:dyDescent="0.25">
      <c r="A78" s="7"/>
      <c r="B78" s="95"/>
      <c r="C78" s="17"/>
      <c r="D78" s="15"/>
      <c r="E78" s="15"/>
      <c r="F78" s="15"/>
      <c r="G78" s="15"/>
      <c r="H78" s="63"/>
    </row>
    <row r="79" spans="1:8" ht="15.75" customHeight="1" thickBot="1" x14ac:dyDescent="0.3">
      <c r="A79" s="16" t="s">
        <v>44</v>
      </c>
      <c r="B79" s="15" t="s">
        <v>49</v>
      </c>
      <c r="C79" s="301">
        <v>11</v>
      </c>
      <c r="D79" s="15"/>
      <c r="E79" s="15"/>
      <c r="F79" s="239"/>
      <c r="G79" s="15"/>
      <c r="H79" s="63"/>
    </row>
    <row r="80" spans="1:8" ht="31.8" thickBot="1" x14ac:dyDescent="0.3">
      <c r="A80" s="29" t="s">
        <v>67</v>
      </c>
      <c r="B80" s="30" t="s">
        <v>58</v>
      </c>
      <c r="C80" s="30" t="s">
        <v>0</v>
      </c>
      <c r="D80" s="30"/>
      <c r="E80" s="48"/>
      <c r="F80" s="30" t="s">
        <v>101</v>
      </c>
      <c r="G80" s="62"/>
      <c r="H80" s="63"/>
    </row>
    <row r="81" spans="1:11" ht="15.75" customHeight="1" x14ac:dyDescent="0.25">
      <c r="A81" s="7" t="s">
        <v>399</v>
      </c>
      <c r="B81" s="14" t="s">
        <v>47</v>
      </c>
      <c r="C81" s="303">
        <v>8</v>
      </c>
      <c r="D81" s="11"/>
      <c r="E81" s="33"/>
      <c r="F81" s="239"/>
      <c r="G81" s="15"/>
      <c r="H81" s="63">
        <f t="shared" si="0"/>
        <v>0</v>
      </c>
    </row>
    <row r="82" spans="1:11" ht="15.6" x14ac:dyDescent="0.25">
      <c r="A82" s="16" t="s">
        <v>379</v>
      </c>
      <c r="B82" s="14" t="s">
        <v>0</v>
      </c>
      <c r="C82" s="293">
        <v>7</v>
      </c>
      <c r="D82" s="11"/>
      <c r="E82" s="45"/>
      <c r="F82" s="239"/>
      <c r="G82" s="15"/>
      <c r="H82" s="63">
        <f t="shared" si="0"/>
        <v>0</v>
      </c>
    </row>
    <row r="83" spans="1:11" s="10" customFormat="1" ht="15.6" x14ac:dyDescent="0.25">
      <c r="A83" s="16" t="s">
        <v>400</v>
      </c>
      <c r="B83" s="14" t="s">
        <v>0</v>
      </c>
      <c r="C83" s="293">
        <v>6</v>
      </c>
      <c r="D83" s="11"/>
      <c r="E83" s="45"/>
      <c r="F83" s="239"/>
      <c r="G83" s="15"/>
      <c r="H83" s="63">
        <f t="shared" si="0"/>
        <v>0</v>
      </c>
      <c r="I83" s="3"/>
      <c r="J83" s="3"/>
      <c r="K83" s="3"/>
    </row>
    <row r="84" spans="1:11" s="10" customFormat="1" ht="15.6" x14ac:dyDescent="0.25">
      <c r="A84" s="16" t="s">
        <v>96</v>
      </c>
      <c r="B84" s="14" t="s">
        <v>97</v>
      </c>
      <c r="C84" s="301">
        <v>7</v>
      </c>
      <c r="D84" s="17"/>
      <c r="E84" s="45"/>
      <c r="F84" s="239"/>
      <c r="G84" s="15"/>
      <c r="H84" s="63">
        <f t="shared" si="0"/>
        <v>0</v>
      </c>
      <c r="I84" s="3"/>
      <c r="J84" s="3"/>
      <c r="K84" s="3"/>
    </row>
    <row r="85" spans="1:11" ht="15.6" x14ac:dyDescent="0.25">
      <c r="A85" s="16" t="s">
        <v>96</v>
      </c>
      <c r="B85" s="14" t="s">
        <v>208</v>
      </c>
      <c r="C85" s="301">
        <v>7</v>
      </c>
      <c r="D85" s="17"/>
      <c r="E85" s="45"/>
      <c r="F85" s="239"/>
      <c r="G85" s="15"/>
      <c r="H85" s="63"/>
    </row>
    <row r="86" spans="1:11" ht="15.6" x14ac:dyDescent="0.25">
      <c r="A86" s="16" t="s">
        <v>401</v>
      </c>
      <c r="B86" s="14" t="s">
        <v>0</v>
      </c>
      <c r="C86" s="293">
        <v>14</v>
      </c>
      <c r="D86" s="11"/>
      <c r="E86" s="45"/>
      <c r="F86" s="239"/>
      <c r="G86" s="15"/>
      <c r="H86" s="63">
        <f t="shared" si="0"/>
        <v>0</v>
      </c>
    </row>
    <row r="87" spans="1:11" ht="15.6" x14ac:dyDescent="0.25">
      <c r="A87" s="16" t="s">
        <v>402</v>
      </c>
      <c r="B87" s="14" t="s">
        <v>0</v>
      </c>
      <c r="C87" s="293">
        <v>7</v>
      </c>
      <c r="D87" s="11"/>
      <c r="E87" s="45"/>
      <c r="F87" s="239"/>
      <c r="G87" s="15"/>
      <c r="H87" s="63"/>
    </row>
    <row r="88" spans="1:11" ht="15.6" x14ac:dyDescent="0.25">
      <c r="A88" s="16" t="s">
        <v>358</v>
      </c>
      <c r="B88" s="14" t="s">
        <v>0</v>
      </c>
      <c r="C88" s="293">
        <v>14</v>
      </c>
      <c r="D88" s="11"/>
      <c r="E88" s="45"/>
      <c r="F88" s="239"/>
      <c r="G88" s="15"/>
      <c r="H88" s="63">
        <f t="shared" si="0"/>
        <v>0</v>
      </c>
    </row>
    <row r="89" spans="1:11" ht="15.75" customHeight="1" thickBot="1" x14ac:dyDescent="0.3">
      <c r="A89" s="121" t="s">
        <v>50</v>
      </c>
      <c r="B89" s="74" t="s">
        <v>0</v>
      </c>
      <c r="C89" s="294">
        <v>64</v>
      </c>
      <c r="D89" s="78"/>
      <c r="E89" s="45"/>
      <c r="F89" s="243"/>
      <c r="G89" s="15"/>
      <c r="H89" s="63">
        <f t="shared" si="0"/>
        <v>0</v>
      </c>
    </row>
    <row r="90" spans="1:11" s="10" customFormat="1" ht="16.2" customHeight="1" thickBot="1" x14ac:dyDescent="0.3">
      <c r="A90" s="29" t="s">
        <v>38</v>
      </c>
      <c r="B90" s="30" t="s">
        <v>58</v>
      </c>
      <c r="C90" s="30" t="s">
        <v>0</v>
      </c>
      <c r="D90" s="30"/>
      <c r="E90" s="48"/>
      <c r="F90" s="30" t="s">
        <v>101</v>
      </c>
      <c r="G90" s="62"/>
      <c r="H90" s="63"/>
      <c r="I90" s="3"/>
      <c r="J90" s="3"/>
      <c r="K90" s="3"/>
    </row>
    <row r="91" spans="1:11" ht="15.6" x14ac:dyDescent="0.25">
      <c r="A91" s="16" t="s">
        <v>403</v>
      </c>
      <c r="B91" s="15" t="s">
        <v>213</v>
      </c>
      <c r="C91" s="301">
        <v>1</v>
      </c>
      <c r="D91" s="15"/>
      <c r="E91" s="45"/>
      <c r="F91" s="15"/>
      <c r="G91" s="15"/>
      <c r="H91" s="63">
        <f t="shared" si="0"/>
        <v>0</v>
      </c>
    </row>
    <row r="92" spans="1:11" ht="15.6" x14ac:dyDescent="0.25">
      <c r="A92" s="16" t="s">
        <v>367</v>
      </c>
      <c r="B92" s="15" t="s">
        <v>214</v>
      </c>
      <c r="C92" s="301">
        <v>3</v>
      </c>
      <c r="D92" s="17"/>
      <c r="E92" s="45"/>
      <c r="F92" s="15"/>
      <c r="G92" s="15"/>
      <c r="H92" s="63">
        <f t="shared" si="0"/>
        <v>0</v>
      </c>
    </row>
    <row r="93" spans="1:11" ht="16.2" thickBot="1" x14ac:dyDescent="0.3">
      <c r="A93" s="16" t="s">
        <v>368</v>
      </c>
      <c r="B93" s="15" t="s">
        <v>214</v>
      </c>
      <c r="C93" s="301">
        <v>3</v>
      </c>
      <c r="D93" s="17"/>
      <c r="E93" s="45"/>
      <c r="F93" s="15"/>
      <c r="G93" s="15"/>
      <c r="H93" s="63"/>
    </row>
    <row r="94" spans="1:11" ht="31.8" thickBot="1" x14ac:dyDescent="0.3">
      <c r="A94" s="29" t="s">
        <v>100</v>
      </c>
      <c r="B94" s="86" t="s">
        <v>58</v>
      </c>
      <c r="C94" s="86" t="s">
        <v>0</v>
      </c>
      <c r="D94" s="86"/>
      <c r="E94" s="85"/>
      <c r="F94" s="30" t="s">
        <v>101</v>
      </c>
      <c r="G94" s="87"/>
      <c r="H94" s="63"/>
    </row>
    <row r="95" spans="1:11" ht="15.6" x14ac:dyDescent="0.25">
      <c r="A95" s="7" t="s">
        <v>215</v>
      </c>
      <c r="B95" s="6" t="s">
        <v>209</v>
      </c>
      <c r="C95" s="293">
        <v>5</v>
      </c>
      <c r="D95" s="15"/>
      <c r="E95" s="45"/>
      <c r="F95" s="239"/>
      <c r="G95" s="15"/>
      <c r="H95" s="63"/>
    </row>
    <row r="96" spans="1:11" ht="15.6" x14ac:dyDescent="0.25">
      <c r="A96" s="7" t="s">
        <v>376</v>
      </c>
      <c r="B96" s="6" t="s">
        <v>0</v>
      </c>
      <c r="C96" s="293">
        <v>1</v>
      </c>
      <c r="D96" s="15"/>
      <c r="E96" s="45"/>
      <c r="F96" s="239"/>
      <c r="G96" s="15"/>
      <c r="H96" s="63"/>
    </row>
    <row r="97" spans="1:8" ht="15.6" x14ac:dyDescent="0.25">
      <c r="A97" s="7"/>
      <c r="B97" s="6"/>
      <c r="C97" s="34"/>
      <c r="D97" s="15"/>
      <c r="E97" s="45"/>
      <c r="F97" s="239"/>
      <c r="G97" s="15"/>
      <c r="H97" s="63"/>
    </row>
    <row r="98" spans="1:8" ht="16.2" thickBot="1" x14ac:dyDescent="0.3">
      <c r="A98" s="7" t="s">
        <v>210</v>
      </c>
      <c r="B98" s="6" t="s">
        <v>0</v>
      </c>
      <c r="C98" s="293">
        <v>24</v>
      </c>
      <c r="D98" s="15"/>
      <c r="E98" s="45"/>
      <c r="F98" s="239"/>
      <c r="G98" s="15"/>
      <c r="H98" s="63"/>
    </row>
    <row r="99" spans="1:8" ht="31.8" thickBot="1" x14ac:dyDescent="0.3">
      <c r="A99" s="29" t="s">
        <v>40</v>
      </c>
      <c r="B99" s="30" t="s">
        <v>58</v>
      </c>
      <c r="C99" s="30" t="s">
        <v>0</v>
      </c>
      <c r="D99" s="30"/>
      <c r="E99" s="48"/>
      <c r="F99" s="30" t="s">
        <v>93</v>
      </c>
      <c r="G99" s="15"/>
      <c r="H99" s="63" t="e">
        <f>G99*#REF!</f>
        <v>#REF!</v>
      </c>
    </row>
    <row r="100" spans="1:8" ht="15.6" x14ac:dyDescent="0.25">
      <c r="A100" s="7" t="s">
        <v>30</v>
      </c>
      <c r="B100" s="6" t="s">
        <v>1</v>
      </c>
      <c r="C100" s="301">
        <v>750</v>
      </c>
      <c r="D100" s="15"/>
      <c r="E100" s="15"/>
      <c r="F100" s="239"/>
      <c r="G100" s="65"/>
      <c r="H100" s="63"/>
    </row>
    <row r="101" spans="1:8" ht="15.6" x14ac:dyDescent="0.25">
      <c r="A101" s="7" t="s">
        <v>216</v>
      </c>
      <c r="B101" s="6" t="s">
        <v>1</v>
      </c>
      <c r="C101" s="301">
        <v>500</v>
      </c>
      <c r="D101" s="15"/>
      <c r="E101" s="15"/>
      <c r="F101" s="239"/>
      <c r="G101" s="65"/>
      <c r="H101" s="63"/>
    </row>
    <row r="102" spans="1:8" ht="15.6" x14ac:dyDescent="0.25">
      <c r="A102" s="7" t="s">
        <v>280</v>
      </c>
      <c r="B102" s="6" t="s">
        <v>1</v>
      </c>
      <c r="C102" s="305">
        <v>1400</v>
      </c>
      <c r="D102" s="15"/>
      <c r="E102" s="15"/>
      <c r="F102" s="239"/>
      <c r="G102" s="65"/>
      <c r="H102" s="63"/>
    </row>
    <row r="103" spans="1:8" ht="15.6" x14ac:dyDescent="0.25">
      <c r="A103" s="7" t="s">
        <v>166</v>
      </c>
      <c r="B103" s="6" t="s">
        <v>1</v>
      </c>
      <c r="C103" s="305">
        <v>100</v>
      </c>
      <c r="D103" s="15"/>
      <c r="E103" s="15"/>
      <c r="F103" s="239"/>
      <c r="G103" s="65"/>
      <c r="H103" s="63"/>
    </row>
    <row r="104" spans="1:8" ht="15.6" x14ac:dyDescent="0.25">
      <c r="A104" s="7" t="s">
        <v>167</v>
      </c>
      <c r="B104" s="6" t="s">
        <v>1</v>
      </c>
      <c r="C104" s="305">
        <v>750</v>
      </c>
      <c r="D104" s="15"/>
      <c r="E104" s="15"/>
      <c r="F104" s="239"/>
      <c r="G104" s="65"/>
      <c r="H104" s="63"/>
    </row>
    <row r="105" spans="1:8" ht="15.6" x14ac:dyDescent="0.25">
      <c r="A105" s="9" t="s">
        <v>32</v>
      </c>
      <c r="B105" s="6" t="s">
        <v>0</v>
      </c>
      <c r="C105" s="306">
        <v>4</v>
      </c>
      <c r="D105" s="19"/>
      <c r="E105" s="47"/>
      <c r="F105" s="241"/>
      <c r="G105" s="1"/>
      <c r="H105" s="63">
        <f t="shared" ref="H105:H106" si="1">G105*C106</f>
        <v>0</v>
      </c>
    </row>
    <row r="106" spans="1:8" ht="15.6" x14ac:dyDescent="0.25">
      <c r="A106" s="9" t="s">
        <v>33</v>
      </c>
      <c r="B106" s="6" t="s">
        <v>0</v>
      </c>
      <c r="C106" s="306">
        <v>4</v>
      </c>
      <c r="D106" s="19"/>
      <c r="E106" s="47"/>
      <c r="F106" s="241"/>
      <c r="G106" s="66"/>
      <c r="H106" s="63">
        <f t="shared" si="1"/>
        <v>0</v>
      </c>
    </row>
    <row r="107" spans="1:8" ht="15.6" x14ac:dyDescent="0.25">
      <c r="A107" s="9" t="s">
        <v>34</v>
      </c>
      <c r="B107" s="6" t="s">
        <v>0</v>
      </c>
      <c r="C107" s="306">
        <v>2</v>
      </c>
      <c r="D107" s="20"/>
      <c r="E107" s="8"/>
      <c r="F107" s="236"/>
      <c r="G107" s="66"/>
      <c r="H107" s="63" t="e">
        <f>G107*#REF!</f>
        <v>#REF!</v>
      </c>
    </row>
    <row r="108" spans="1:8" ht="15.6" x14ac:dyDescent="0.25">
      <c r="A108" s="286" t="s">
        <v>277</v>
      </c>
      <c r="B108" s="73" t="s">
        <v>0</v>
      </c>
      <c r="C108" s="304">
        <v>9</v>
      </c>
      <c r="D108" s="79"/>
      <c r="E108" s="103"/>
      <c r="F108" s="236"/>
      <c r="G108" s="189"/>
      <c r="H108" s="84"/>
    </row>
    <row r="109" spans="1:8" ht="16.2" thickBot="1" x14ac:dyDescent="0.3">
      <c r="A109" s="7" t="s">
        <v>278</v>
      </c>
      <c r="B109" s="6" t="s">
        <v>0</v>
      </c>
      <c r="C109" s="306">
        <v>1</v>
      </c>
      <c r="D109" s="20"/>
      <c r="E109" s="66"/>
      <c r="F109" s="285"/>
      <c r="G109" s="189"/>
      <c r="H109" s="84"/>
    </row>
    <row r="110" spans="1:8" ht="31.8" thickBot="1" x14ac:dyDescent="0.3">
      <c r="A110" s="29" t="s">
        <v>39</v>
      </c>
      <c r="B110" s="30" t="s">
        <v>58</v>
      </c>
      <c r="C110" s="30" t="s">
        <v>0</v>
      </c>
      <c r="D110" s="30"/>
      <c r="E110" s="48"/>
      <c r="F110" s="30" t="s">
        <v>93</v>
      </c>
      <c r="G110" s="15"/>
      <c r="H110" s="63" t="e">
        <f>G110*#REF!</f>
        <v>#REF!</v>
      </c>
    </row>
    <row r="111" spans="1:8" ht="15.6" x14ac:dyDescent="0.25">
      <c r="A111" s="16" t="s">
        <v>37</v>
      </c>
      <c r="B111" s="14" t="s">
        <v>0</v>
      </c>
      <c r="C111" s="307">
        <v>7</v>
      </c>
      <c r="D111" s="122"/>
      <c r="E111" s="122"/>
      <c r="F111" s="238"/>
      <c r="G111" s="65"/>
      <c r="H111" s="63"/>
    </row>
    <row r="112" spans="1:8" ht="15.6" x14ac:dyDescent="0.25">
      <c r="A112" s="16" t="s">
        <v>17</v>
      </c>
      <c r="B112" s="14" t="s">
        <v>0</v>
      </c>
      <c r="C112" s="301">
        <v>3</v>
      </c>
      <c r="D112" s="15"/>
      <c r="E112" s="15"/>
      <c r="F112" s="239"/>
      <c r="G112" s="65"/>
      <c r="H112" s="63"/>
    </row>
    <row r="113" spans="1:8" ht="15.6" x14ac:dyDescent="0.25">
      <c r="A113" s="16" t="s">
        <v>15</v>
      </c>
      <c r="B113" s="14" t="s">
        <v>0</v>
      </c>
      <c r="C113" s="301">
        <v>10</v>
      </c>
      <c r="D113" s="15"/>
      <c r="E113" s="15"/>
      <c r="F113" s="239"/>
      <c r="G113" s="65"/>
      <c r="H113" s="63"/>
    </row>
    <row r="114" spans="1:8" ht="15.6" x14ac:dyDescent="0.25">
      <c r="A114" s="16" t="s">
        <v>163</v>
      </c>
      <c r="B114" s="14" t="s">
        <v>14</v>
      </c>
      <c r="C114" s="301">
        <v>140</v>
      </c>
      <c r="D114" s="15"/>
      <c r="E114" s="15"/>
      <c r="F114" s="239"/>
      <c r="G114" s="65"/>
      <c r="H114" s="63"/>
    </row>
    <row r="115" spans="1:8" ht="15.6" x14ac:dyDescent="0.25">
      <c r="A115" s="16" t="s">
        <v>164</v>
      </c>
      <c r="B115" s="14" t="s">
        <v>2</v>
      </c>
      <c r="C115" s="301">
        <v>120</v>
      </c>
      <c r="D115" s="15"/>
      <c r="E115" s="15"/>
      <c r="F115" s="239"/>
      <c r="G115" s="65"/>
      <c r="H115" s="63"/>
    </row>
    <row r="116" spans="1:8" ht="15.6" x14ac:dyDescent="0.25">
      <c r="A116" s="16" t="s">
        <v>27</v>
      </c>
      <c r="B116" s="14" t="s">
        <v>28</v>
      </c>
      <c r="C116" s="301">
        <v>25</v>
      </c>
      <c r="D116" s="15"/>
      <c r="E116" s="15"/>
      <c r="F116" s="239"/>
      <c r="G116" s="65"/>
      <c r="H116" s="63"/>
    </row>
    <row r="117" spans="1:8" ht="15.6" x14ac:dyDescent="0.25">
      <c r="A117" s="16" t="s">
        <v>282</v>
      </c>
      <c r="B117" s="14" t="s">
        <v>28</v>
      </c>
      <c r="C117" s="301">
        <v>5</v>
      </c>
      <c r="D117" s="15"/>
      <c r="E117" s="15"/>
      <c r="F117" s="239"/>
      <c r="G117" s="65"/>
      <c r="H117" s="63"/>
    </row>
    <row r="118" spans="1:8" ht="15.6" x14ac:dyDescent="0.25">
      <c r="A118" s="16" t="s">
        <v>292</v>
      </c>
      <c r="B118" s="14" t="s">
        <v>28</v>
      </c>
      <c r="C118" s="301">
        <v>5</v>
      </c>
      <c r="D118" s="15"/>
      <c r="E118" s="15"/>
      <c r="F118" s="239"/>
      <c r="G118" s="65"/>
      <c r="H118" s="63"/>
    </row>
    <row r="119" spans="1:8" ht="15.6" x14ac:dyDescent="0.25">
      <c r="A119" s="16" t="s">
        <v>154</v>
      </c>
      <c r="B119" s="14" t="s">
        <v>0</v>
      </c>
      <c r="C119" s="301">
        <v>7</v>
      </c>
      <c r="D119" s="15"/>
      <c r="E119" s="15"/>
      <c r="F119" s="239"/>
      <c r="G119" s="65"/>
      <c r="H119" s="63"/>
    </row>
    <row r="120" spans="1:8" ht="15.6" x14ac:dyDescent="0.25">
      <c r="A120" s="16" t="s">
        <v>165</v>
      </c>
      <c r="B120" s="14" t="s">
        <v>0</v>
      </c>
      <c r="C120" s="301">
        <v>1</v>
      </c>
      <c r="D120" s="15"/>
      <c r="E120" s="15"/>
      <c r="F120" s="239"/>
      <c r="G120" s="65"/>
      <c r="H120" s="63"/>
    </row>
    <row r="121" spans="1:8" ht="15.6" x14ac:dyDescent="0.25">
      <c r="A121" s="16" t="s">
        <v>223</v>
      </c>
      <c r="B121" s="14" t="s">
        <v>0</v>
      </c>
      <c r="C121" s="301">
        <v>20</v>
      </c>
      <c r="D121" s="15"/>
      <c r="E121" s="15"/>
      <c r="F121" s="239"/>
      <c r="G121" s="65"/>
      <c r="H121" s="63"/>
    </row>
    <row r="122" spans="1:8" ht="15.6" x14ac:dyDescent="0.25">
      <c r="A122" s="16" t="s">
        <v>153</v>
      </c>
      <c r="B122" s="14" t="s">
        <v>0</v>
      </c>
      <c r="C122" s="301">
        <v>1</v>
      </c>
      <c r="D122" s="15"/>
      <c r="E122" s="15"/>
      <c r="F122" s="239"/>
      <c r="G122" s="65"/>
      <c r="H122" s="63"/>
    </row>
    <row r="123" spans="1:8" ht="15.6" x14ac:dyDescent="0.25">
      <c r="A123" s="16" t="s">
        <v>284</v>
      </c>
      <c r="B123" s="14" t="s">
        <v>0</v>
      </c>
      <c r="C123" s="301">
        <v>1</v>
      </c>
      <c r="D123" s="15"/>
      <c r="E123" s="15"/>
      <c r="F123" s="239"/>
      <c r="G123" s="65"/>
      <c r="H123" s="63"/>
    </row>
    <row r="124" spans="1:8" ht="15.6" x14ac:dyDescent="0.25">
      <c r="A124" s="16" t="s">
        <v>19</v>
      </c>
      <c r="B124" s="14" t="s">
        <v>84</v>
      </c>
      <c r="C124" s="301">
        <v>9</v>
      </c>
      <c r="D124" s="17"/>
      <c r="E124" s="65"/>
      <c r="F124" s="240"/>
      <c r="G124" s="65"/>
      <c r="H124" s="63">
        <f t="shared" ref="H124:H125" si="2">G124*C125</f>
        <v>0</v>
      </c>
    </row>
    <row r="125" spans="1:8" ht="15.6" x14ac:dyDescent="0.25">
      <c r="A125" s="16" t="s">
        <v>18</v>
      </c>
      <c r="B125" s="14" t="s">
        <v>406</v>
      </c>
      <c r="C125" s="301">
        <v>1</v>
      </c>
      <c r="D125" s="17"/>
      <c r="E125" s="65"/>
      <c r="F125" s="240"/>
      <c r="G125" s="1"/>
      <c r="H125" s="63">
        <f t="shared" si="2"/>
        <v>0</v>
      </c>
    </row>
    <row r="126" spans="1:8" ht="15.6" x14ac:dyDescent="0.25">
      <c r="A126" s="16" t="s">
        <v>11</v>
      </c>
      <c r="B126" s="14" t="s">
        <v>1</v>
      </c>
      <c r="C126" s="305">
        <v>3</v>
      </c>
      <c r="D126" s="17"/>
      <c r="E126" s="1"/>
      <c r="F126" s="241"/>
      <c r="G126" s="1"/>
      <c r="H126" s="63" t="e">
        <f>G126*#REF!</f>
        <v>#REF!</v>
      </c>
    </row>
    <row r="127" spans="1:8" ht="16.2" thickBot="1" x14ac:dyDescent="0.3">
      <c r="A127" s="16" t="s">
        <v>269</v>
      </c>
      <c r="B127" s="14" t="s">
        <v>1</v>
      </c>
      <c r="C127" s="305">
        <v>1</v>
      </c>
      <c r="D127" s="17"/>
      <c r="E127" s="1"/>
      <c r="F127" s="242"/>
      <c r="G127" s="190"/>
      <c r="H127" s="84"/>
    </row>
    <row r="128" spans="1:8" ht="31.8" thickBot="1" x14ac:dyDescent="0.3">
      <c r="A128" s="29" t="s">
        <v>66</v>
      </c>
      <c r="B128" s="30" t="s">
        <v>58</v>
      </c>
      <c r="C128" s="30" t="s">
        <v>0</v>
      </c>
      <c r="D128" s="30"/>
      <c r="E128" s="48"/>
      <c r="F128" s="30" t="s">
        <v>93</v>
      </c>
      <c r="G128" s="15"/>
      <c r="H128" s="63" t="e">
        <f>G128*#REF!</f>
        <v>#REF!</v>
      </c>
    </row>
    <row r="129" spans="1:8" ht="15.6" x14ac:dyDescent="0.25">
      <c r="A129" s="7" t="s">
        <v>4</v>
      </c>
      <c r="B129" s="6" t="s">
        <v>3</v>
      </c>
      <c r="C129" s="293">
        <v>10</v>
      </c>
      <c r="D129" s="11"/>
      <c r="E129" s="15"/>
      <c r="F129" s="15"/>
      <c r="G129" s="65"/>
      <c r="H129" s="63"/>
    </row>
    <row r="130" spans="1:8" ht="15.6" x14ac:dyDescent="0.25">
      <c r="A130" s="7" t="s">
        <v>5</v>
      </c>
      <c r="B130" s="6" t="s">
        <v>1</v>
      </c>
      <c r="C130" s="293">
        <v>20</v>
      </c>
      <c r="D130" s="11"/>
      <c r="E130" s="15"/>
      <c r="F130" s="15"/>
      <c r="G130" s="65"/>
      <c r="H130" s="63"/>
    </row>
    <row r="131" spans="1:8" ht="15.6" x14ac:dyDescent="0.25">
      <c r="A131" s="7" t="s">
        <v>6</v>
      </c>
      <c r="B131" s="6" t="s">
        <v>1</v>
      </c>
      <c r="C131" s="293">
        <v>12</v>
      </c>
      <c r="D131" s="11"/>
      <c r="E131" s="15"/>
      <c r="F131" s="15"/>
      <c r="G131" s="65"/>
      <c r="H131" s="63"/>
    </row>
    <row r="132" spans="1:8" ht="15.6" x14ac:dyDescent="0.25">
      <c r="A132" s="7" t="s">
        <v>7</v>
      </c>
      <c r="B132" s="6" t="s">
        <v>1</v>
      </c>
      <c r="C132" s="293">
        <v>6</v>
      </c>
      <c r="D132" s="11"/>
      <c r="E132" s="15"/>
      <c r="F132" s="15"/>
      <c r="G132" s="65"/>
      <c r="H132" s="63"/>
    </row>
    <row r="133" spans="1:8" ht="15.6" x14ac:dyDescent="0.25">
      <c r="A133" s="7" t="s">
        <v>8</v>
      </c>
      <c r="B133" s="6" t="s">
        <v>1</v>
      </c>
      <c r="C133" s="293">
        <v>15</v>
      </c>
      <c r="D133" s="11"/>
      <c r="E133" s="15"/>
      <c r="F133" s="15"/>
      <c r="G133" s="65"/>
      <c r="H133" s="63"/>
    </row>
    <row r="134" spans="1:8" ht="15.6" x14ac:dyDescent="0.25">
      <c r="A134" s="7" t="s">
        <v>9</v>
      </c>
      <c r="B134" s="6" t="s">
        <v>1</v>
      </c>
      <c r="C134" s="293">
        <v>6</v>
      </c>
      <c r="D134" s="11"/>
      <c r="E134" s="15"/>
      <c r="F134" s="15"/>
      <c r="G134" s="65"/>
      <c r="H134" s="63"/>
    </row>
    <row r="135" spans="1:8" ht="16.2" thickBot="1" x14ac:dyDescent="0.3">
      <c r="A135" s="7" t="s">
        <v>10</v>
      </c>
      <c r="B135" s="6" t="s">
        <v>1</v>
      </c>
      <c r="C135" s="293">
        <v>3</v>
      </c>
      <c r="D135" s="11"/>
      <c r="E135" s="15"/>
      <c r="F135" s="15"/>
      <c r="G135" s="65"/>
      <c r="H135" s="63"/>
    </row>
    <row r="136" spans="1:8" ht="31.8" thickBot="1" x14ac:dyDescent="0.3">
      <c r="A136" s="29" t="s">
        <v>43</v>
      </c>
      <c r="B136" s="30" t="s">
        <v>58</v>
      </c>
      <c r="C136" s="30" t="s">
        <v>0</v>
      </c>
      <c r="D136" s="30"/>
      <c r="E136" s="48"/>
      <c r="F136" s="30" t="s">
        <v>93</v>
      </c>
      <c r="G136" s="15"/>
      <c r="H136" s="63" t="e">
        <f>G136*#REF!</f>
        <v>#REF!</v>
      </c>
    </row>
    <row r="137" spans="1:8" ht="15.6" x14ac:dyDescent="0.25">
      <c r="A137" s="16" t="s">
        <v>404</v>
      </c>
      <c r="B137" s="14" t="s">
        <v>0</v>
      </c>
      <c r="C137" s="304">
        <v>3</v>
      </c>
      <c r="D137" s="79"/>
      <c r="E137" s="8"/>
      <c r="F137" s="237"/>
      <c r="G137" s="91"/>
      <c r="H137" s="63"/>
    </row>
    <row r="138" spans="1:8" ht="15.6" x14ac:dyDescent="0.25">
      <c r="A138" s="16" t="s">
        <v>16</v>
      </c>
      <c r="B138" s="14" t="s">
        <v>0</v>
      </c>
      <c r="C138" s="304">
        <v>2</v>
      </c>
      <c r="D138" s="79"/>
      <c r="E138" s="8"/>
      <c r="F138" s="237"/>
      <c r="G138" s="72"/>
      <c r="H138" s="63" t="e">
        <f>G138*#REF!</f>
        <v>#REF!</v>
      </c>
    </row>
  </sheetData>
  <mergeCells count="9">
    <mergeCell ref="A9:F9"/>
    <mergeCell ref="F1:F8"/>
    <mergeCell ref="A1:E1"/>
    <mergeCell ref="B2:E2"/>
    <mergeCell ref="B3:E3"/>
    <mergeCell ref="B4:E4"/>
    <mergeCell ref="D6:E6"/>
    <mergeCell ref="A7:A8"/>
    <mergeCell ref="B5:E5"/>
  </mergeCells>
  <phoneticPr fontId="12" type="noConversion"/>
  <conditionalFormatting sqref="E35:G35 G36">
    <cfRule type="cellIs" priority="1" operator="greaterThan">
      <formula>0</formula>
    </cfRule>
    <cfRule type="cellIs" dxfId="0" priority="2" operator="greaterThan">
      <formula>0</formula>
    </cfRule>
  </conditionalFormatting>
  <pageMargins left="0.70866141732283472" right="0.70866141732283472" top="0.55118110236220474" bottom="1.3385826771653544" header="0.31496062992125984" footer="0.31496062992125984"/>
  <pageSetup paperSize="9" scale="61" fitToHeight="0" orientation="portrait" r:id="rId1"/>
  <headerFooter>
    <oddFooter>&amp;R&amp;G</oddFooter>
  </headerFooter>
  <rowBreaks count="2" manualBreakCount="2">
    <brk id="65" max="4" man="1"/>
    <brk id="127" max="4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C30-3A3D-43D1-A67D-826ED26E1641}">
  <sheetPr>
    <tabColor rgb="FFFF0000"/>
  </sheetPr>
  <dimension ref="A1:X56"/>
  <sheetViews>
    <sheetView zoomScale="115" zoomScaleNormal="115" workbookViewId="0">
      <selection activeCell="S26" sqref="S26:S27"/>
    </sheetView>
  </sheetViews>
  <sheetFormatPr defaultRowHeight="13.2" x14ac:dyDescent="0.25"/>
  <cols>
    <col min="1" max="1" width="12.33203125" customWidth="1"/>
    <col min="2" max="2" width="9.88671875" customWidth="1"/>
    <col min="3" max="3" width="13.33203125" customWidth="1"/>
    <col min="5" max="5" width="3.44140625" customWidth="1"/>
    <col min="6" max="6" width="8.5546875" customWidth="1"/>
    <col min="7" max="7" width="5.88671875" bestFit="1" customWidth="1"/>
    <col min="8" max="8" width="18.88671875" bestFit="1" customWidth="1"/>
    <col min="9" max="9" width="9.44140625" customWidth="1"/>
    <col min="10" max="10" width="13.33203125" customWidth="1"/>
    <col min="11" max="11" width="10.44140625" customWidth="1"/>
    <col min="12" max="12" width="5" customWidth="1"/>
    <col min="14" max="14" width="9.88671875" customWidth="1"/>
    <col min="15" max="15" width="9.109375" customWidth="1"/>
    <col min="16" max="16" width="8.33203125" customWidth="1"/>
    <col min="17" max="17" width="9.88671875" customWidth="1"/>
    <col min="18" max="18" width="10.44140625" customWidth="1"/>
    <col min="19" max="19" width="8.88671875" customWidth="1"/>
    <col min="20" max="20" width="8.6640625" customWidth="1"/>
    <col min="21" max="21" width="8" customWidth="1"/>
    <col min="23" max="23" width="10.33203125" bestFit="1" customWidth="1"/>
  </cols>
  <sheetData>
    <row r="1" spans="1:24" ht="13.8" x14ac:dyDescent="0.3">
      <c r="A1" s="367" t="s">
        <v>226</v>
      </c>
      <c r="B1" s="368"/>
      <c r="C1" s="368"/>
      <c r="D1" s="369"/>
      <c r="E1" s="129"/>
      <c r="F1" s="358" t="s">
        <v>254</v>
      </c>
      <c r="G1" s="132"/>
      <c r="H1" s="367" t="s">
        <v>227</v>
      </c>
      <c r="I1" s="368"/>
      <c r="J1" s="368"/>
      <c r="K1" s="369"/>
      <c r="L1" s="132"/>
      <c r="M1" s="152" t="s">
        <v>245</v>
      </c>
      <c r="N1" s="153" t="s">
        <v>247</v>
      </c>
      <c r="O1" s="257" t="s">
        <v>258</v>
      </c>
      <c r="P1" s="258" t="s">
        <v>114</v>
      </c>
      <c r="R1" s="152" t="s">
        <v>245</v>
      </c>
      <c r="S1" s="153" t="s">
        <v>247</v>
      </c>
      <c r="T1" s="257" t="s">
        <v>258</v>
      </c>
      <c r="U1" s="258" t="s">
        <v>114</v>
      </c>
    </row>
    <row r="2" spans="1:24" ht="13.8" x14ac:dyDescent="0.3">
      <c r="A2" s="160"/>
      <c r="B2" s="127" t="s">
        <v>258</v>
      </c>
      <c r="C2" s="127" t="s">
        <v>228</v>
      </c>
      <c r="D2" s="161"/>
      <c r="E2" s="132"/>
      <c r="F2" s="359"/>
      <c r="G2" s="132"/>
      <c r="H2" s="160"/>
      <c r="I2" s="127" t="s">
        <v>258</v>
      </c>
      <c r="J2" s="127" t="s">
        <v>228</v>
      </c>
      <c r="K2" s="161"/>
      <c r="L2" s="132"/>
      <c r="M2" s="133" t="s">
        <v>246</v>
      </c>
      <c r="N2" s="134" t="s">
        <v>249</v>
      </c>
      <c r="O2" s="135"/>
      <c r="P2" s="283"/>
      <c r="R2" s="143" t="s">
        <v>231</v>
      </c>
      <c r="S2" s="134" t="s">
        <v>249</v>
      </c>
      <c r="T2" s="135"/>
      <c r="U2" s="283"/>
    </row>
    <row r="3" spans="1:24" ht="13.8" x14ac:dyDescent="0.3">
      <c r="A3" s="162" t="s">
        <v>229</v>
      </c>
      <c r="B3" s="165"/>
      <c r="C3" s="136">
        <f>$F$3</f>
        <v>0</v>
      </c>
      <c r="D3" s="171">
        <f>B3*C3</f>
        <v>0</v>
      </c>
      <c r="E3" s="132"/>
      <c r="F3" s="135"/>
      <c r="G3" s="132"/>
      <c r="H3" s="163" t="s">
        <v>241</v>
      </c>
      <c r="I3" s="136">
        <f>SUM(O2:O10)</f>
        <v>0</v>
      </c>
      <c r="J3" s="136">
        <f>$F$3</f>
        <v>0</v>
      </c>
      <c r="K3" s="172">
        <f>PRODUCT(I3,J3)</f>
        <v>0</v>
      </c>
      <c r="L3" s="177"/>
      <c r="M3" s="133" t="s">
        <v>246</v>
      </c>
      <c r="N3" s="134" t="s">
        <v>249</v>
      </c>
      <c r="O3" s="135"/>
      <c r="P3" s="283"/>
      <c r="Q3" s="175"/>
      <c r="R3" s="143" t="s">
        <v>231</v>
      </c>
      <c r="S3" s="134" t="s">
        <v>249</v>
      </c>
      <c r="T3" s="135"/>
      <c r="U3" s="283"/>
    </row>
    <row r="4" spans="1:24" ht="13.8" x14ac:dyDescent="0.3">
      <c r="A4" s="162" t="s">
        <v>230</v>
      </c>
      <c r="B4" s="165"/>
      <c r="C4" s="136">
        <v>0.3</v>
      </c>
      <c r="D4" s="171">
        <f t="shared" ref="D4:D5" si="0">B4*C4</f>
        <v>0</v>
      </c>
      <c r="E4" s="132"/>
      <c r="F4" s="132"/>
      <c r="G4" s="132"/>
      <c r="H4" s="164" t="s">
        <v>242</v>
      </c>
      <c r="I4" s="138">
        <f>SUM(O11:O13)</f>
        <v>0</v>
      </c>
      <c r="J4" s="136">
        <f>$F$3</f>
        <v>0</v>
      </c>
      <c r="K4" s="172">
        <f>PRODUCT(I4,J4)</f>
        <v>0</v>
      </c>
      <c r="L4" s="177"/>
      <c r="M4" s="133" t="s">
        <v>246</v>
      </c>
      <c r="N4" s="134" t="s">
        <v>249</v>
      </c>
      <c r="O4" s="135"/>
      <c r="P4" s="283"/>
      <c r="Q4" s="175"/>
      <c r="R4" s="143" t="s">
        <v>231</v>
      </c>
      <c r="S4" s="134" t="s">
        <v>249</v>
      </c>
      <c r="T4" s="135"/>
      <c r="U4" s="283"/>
    </row>
    <row r="5" spans="1:24" ht="13.8" x14ac:dyDescent="0.3">
      <c r="A5" s="162" t="s">
        <v>231</v>
      </c>
      <c r="B5" s="165"/>
      <c r="C5" s="136">
        <f>F7</f>
        <v>0</v>
      </c>
      <c r="D5" s="171">
        <f t="shared" si="0"/>
        <v>0</v>
      </c>
      <c r="E5" s="132"/>
      <c r="F5" s="371" t="s">
        <v>250</v>
      </c>
      <c r="G5" s="132"/>
      <c r="H5" s="163" t="s">
        <v>243</v>
      </c>
      <c r="I5" s="139">
        <f>SUM(T2:T10)</f>
        <v>0</v>
      </c>
      <c r="J5" s="136">
        <f>$F$7</f>
        <v>0</v>
      </c>
      <c r="K5" s="172">
        <f>PRODUCT(I5,J5)</f>
        <v>0</v>
      </c>
      <c r="L5" s="169"/>
      <c r="M5" s="133" t="s">
        <v>246</v>
      </c>
      <c r="N5" s="134" t="s">
        <v>249</v>
      </c>
      <c r="O5" s="135"/>
      <c r="P5" s="283"/>
      <c r="Q5" s="175"/>
      <c r="R5" s="143" t="s">
        <v>231</v>
      </c>
      <c r="S5" s="134" t="s">
        <v>249</v>
      </c>
      <c r="T5" s="135"/>
      <c r="U5" s="283"/>
    </row>
    <row r="6" spans="1:24" ht="14.4" thickBot="1" x14ac:dyDescent="0.35">
      <c r="A6" s="156"/>
      <c r="B6" s="157"/>
      <c r="C6" s="144" t="s">
        <v>232</v>
      </c>
      <c r="D6" s="166">
        <f>D3+D4+D5</f>
        <v>0</v>
      </c>
      <c r="E6" s="132"/>
      <c r="F6" s="359"/>
      <c r="G6" s="132"/>
      <c r="H6" s="164" t="s">
        <v>244</v>
      </c>
      <c r="I6" s="139">
        <f>SUM(T11:T13)</f>
        <v>0</v>
      </c>
      <c r="J6" s="136">
        <f>$F$7</f>
        <v>0</v>
      </c>
      <c r="K6" s="172">
        <f>PRODUCT(I6,J6)</f>
        <v>0</v>
      </c>
      <c r="L6" s="177"/>
      <c r="M6" s="133" t="s">
        <v>246</v>
      </c>
      <c r="N6" s="134" t="s">
        <v>249</v>
      </c>
      <c r="O6" s="135"/>
      <c r="P6" s="283"/>
      <c r="Q6" s="175"/>
      <c r="R6" s="143" t="s">
        <v>231</v>
      </c>
      <c r="S6" s="134" t="s">
        <v>249</v>
      </c>
      <c r="T6" s="135"/>
      <c r="U6" s="283"/>
    </row>
    <row r="7" spans="1:24" ht="14.4" thickBot="1" x14ac:dyDescent="0.35">
      <c r="A7" s="132"/>
      <c r="B7" s="132"/>
      <c r="C7" s="140"/>
      <c r="D7" s="132"/>
      <c r="E7" s="132"/>
      <c r="F7" s="135"/>
      <c r="G7" s="132"/>
      <c r="H7" s="174" t="s">
        <v>363</v>
      </c>
      <c r="I7" s="277">
        <f>I3+I4+I5+I6</f>
        <v>0</v>
      </c>
      <c r="J7" s="144" t="s">
        <v>65</v>
      </c>
      <c r="K7" s="168">
        <f>K3+K4+K5+K6</f>
        <v>0</v>
      </c>
      <c r="L7" s="177"/>
      <c r="M7" s="133" t="s">
        <v>246</v>
      </c>
      <c r="N7" s="134" t="s">
        <v>249</v>
      </c>
      <c r="O7" s="135"/>
      <c r="P7" s="283"/>
      <c r="Q7" s="175"/>
      <c r="R7" s="143" t="s">
        <v>231</v>
      </c>
      <c r="S7" s="134" t="s">
        <v>249</v>
      </c>
      <c r="T7" s="135"/>
      <c r="U7" s="283"/>
    </row>
    <row r="8" spans="1:24" ht="14.4" thickBot="1" x14ac:dyDescent="0.35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70"/>
      <c r="M8" s="133" t="s">
        <v>246</v>
      </c>
      <c r="N8" s="134" t="s">
        <v>249</v>
      </c>
      <c r="O8" s="135"/>
      <c r="P8" s="283"/>
      <c r="Q8" s="175"/>
      <c r="R8" s="143" t="s">
        <v>231</v>
      </c>
      <c r="S8" s="134" t="s">
        <v>249</v>
      </c>
      <c r="T8" s="135"/>
      <c r="U8" s="283"/>
    </row>
    <row r="9" spans="1:24" ht="13.8" x14ac:dyDescent="0.3">
      <c r="A9" s="375" t="s">
        <v>259</v>
      </c>
      <c r="B9" s="376"/>
      <c r="C9" s="376"/>
      <c r="D9" s="377"/>
      <c r="E9" s="132"/>
      <c r="H9" s="388" t="s">
        <v>260</v>
      </c>
      <c r="I9" s="389"/>
      <c r="J9" s="389"/>
      <c r="K9" s="390"/>
      <c r="L9" s="170"/>
      <c r="M9" s="133" t="s">
        <v>246</v>
      </c>
      <c r="N9" s="134" t="s">
        <v>249</v>
      </c>
      <c r="O9" s="135"/>
      <c r="P9" s="283"/>
      <c r="Q9" s="274" t="s">
        <v>78</v>
      </c>
      <c r="R9" s="143" t="s">
        <v>231</v>
      </c>
      <c r="S9" s="134" t="s">
        <v>249</v>
      </c>
      <c r="T9" s="135"/>
      <c r="U9" s="283"/>
      <c r="V9" s="269" t="s">
        <v>78</v>
      </c>
    </row>
    <row r="10" spans="1:24" ht="14.4" thickBot="1" x14ac:dyDescent="0.35">
      <c r="A10" s="128" t="s">
        <v>0</v>
      </c>
      <c r="B10" s="131" t="s">
        <v>258</v>
      </c>
      <c r="C10" s="131" t="s">
        <v>237</v>
      </c>
      <c r="D10" s="150"/>
      <c r="E10" s="132"/>
      <c r="H10" s="128" t="s">
        <v>0</v>
      </c>
      <c r="I10" s="131" t="s">
        <v>258</v>
      </c>
      <c r="J10" s="131" t="s">
        <v>237</v>
      </c>
      <c r="K10" s="150"/>
      <c r="L10" s="170"/>
      <c r="M10" s="133" t="s">
        <v>246</v>
      </c>
      <c r="N10" s="134" t="s">
        <v>249</v>
      </c>
      <c r="O10" s="135"/>
      <c r="P10" s="283"/>
      <c r="Q10" s="275">
        <f>SUM(P2:P10)</f>
        <v>0</v>
      </c>
      <c r="R10" s="143" t="s">
        <v>231</v>
      </c>
      <c r="S10" s="134" t="s">
        <v>249</v>
      </c>
      <c r="T10" s="135"/>
      <c r="U10" s="283"/>
      <c r="V10" s="270">
        <f>SUM(U2:U10)</f>
        <v>0</v>
      </c>
    </row>
    <row r="11" spans="1:24" ht="14.4" thickBot="1" x14ac:dyDescent="0.35">
      <c r="A11" s="162"/>
      <c r="B11" s="165"/>
      <c r="C11" s="165"/>
      <c r="D11" s="171">
        <f>A11*B11*C11</f>
        <v>0</v>
      </c>
      <c r="E11" s="132"/>
      <c r="H11" s="162"/>
      <c r="I11" s="165"/>
      <c r="J11" s="165"/>
      <c r="K11" s="171">
        <f>I11*J11</f>
        <v>0</v>
      </c>
      <c r="L11" s="170"/>
      <c r="M11" s="133" t="s">
        <v>246</v>
      </c>
      <c r="N11" s="137" t="s">
        <v>248</v>
      </c>
      <c r="O11" s="135"/>
      <c r="P11" s="283"/>
      <c r="Q11" s="175"/>
      <c r="R11" s="143" t="s">
        <v>231</v>
      </c>
      <c r="S11" s="137" t="s">
        <v>248</v>
      </c>
      <c r="T11" s="135"/>
      <c r="U11" s="283"/>
    </row>
    <row r="12" spans="1:24" ht="13.8" x14ac:dyDescent="0.3">
      <c r="A12" s="162"/>
      <c r="B12" s="282"/>
      <c r="C12" s="282"/>
      <c r="D12" s="171">
        <f>A12*B12*C12</f>
        <v>0</v>
      </c>
      <c r="E12" s="132"/>
      <c r="H12" s="162"/>
      <c r="I12" s="135"/>
      <c r="J12" s="135"/>
      <c r="K12" s="171">
        <f>I12*J12</f>
        <v>0</v>
      </c>
      <c r="L12" s="170"/>
      <c r="M12" s="133" t="s">
        <v>246</v>
      </c>
      <c r="N12" s="137" t="s">
        <v>248</v>
      </c>
      <c r="O12" s="135"/>
      <c r="P12" s="259"/>
      <c r="Q12" s="276" t="s">
        <v>78</v>
      </c>
      <c r="R12" s="143" t="s">
        <v>231</v>
      </c>
      <c r="S12" s="137" t="s">
        <v>248</v>
      </c>
      <c r="T12" s="135"/>
      <c r="U12" s="259"/>
      <c r="V12" s="271" t="s">
        <v>78</v>
      </c>
    </row>
    <row r="13" spans="1:24" ht="14.4" thickBot="1" x14ac:dyDescent="0.35">
      <c r="A13" s="379" t="s">
        <v>264</v>
      </c>
      <c r="B13" s="380"/>
      <c r="C13" s="381"/>
      <c r="D13" s="166">
        <f>SUM(D11:D12)</f>
        <v>0</v>
      </c>
      <c r="E13" s="132"/>
      <c r="H13" s="391" t="s">
        <v>264</v>
      </c>
      <c r="I13" s="392"/>
      <c r="J13" s="392"/>
      <c r="K13" s="166">
        <f>SUM(K11,K12)</f>
        <v>0</v>
      </c>
      <c r="L13" s="170"/>
      <c r="M13" s="133" t="s">
        <v>246</v>
      </c>
      <c r="N13" s="137" t="s">
        <v>248</v>
      </c>
      <c r="O13" s="135"/>
      <c r="P13" s="259"/>
      <c r="Q13" s="275">
        <f>SUM(P11:P13)</f>
        <v>0</v>
      </c>
      <c r="R13" s="143" t="s">
        <v>231</v>
      </c>
      <c r="S13" s="137" t="s">
        <v>248</v>
      </c>
      <c r="T13" s="135"/>
      <c r="U13" s="259"/>
      <c r="V13" s="270">
        <f>SUM(U11:U13)</f>
        <v>0</v>
      </c>
    </row>
    <row r="14" spans="1:24" ht="14.4" thickBot="1" x14ac:dyDescent="0.35">
      <c r="A14" s="132"/>
      <c r="B14" s="132"/>
      <c r="C14" s="132"/>
      <c r="D14" s="132"/>
      <c r="E14" s="132"/>
      <c r="I14" s="132"/>
      <c r="J14" s="132"/>
      <c r="K14" s="132"/>
      <c r="L14" s="170"/>
      <c r="M14" s="142" t="s">
        <v>246</v>
      </c>
      <c r="N14" s="272" t="s">
        <v>361</v>
      </c>
      <c r="O14" s="273"/>
      <c r="P14" s="260"/>
      <c r="Q14" s="175"/>
      <c r="R14" s="261" t="s">
        <v>231</v>
      </c>
      <c r="S14" s="272" t="s">
        <v>362</v>
      </c>
      <c r="T14" s="273"/>
      <c r="U14" s="260"/>
    </row>
    <row r="15" spans="1:24" ht="14.4" thickBot="1" x14ac:dyDescent="0.35">
      <c r="A15" s="132"/>
      <c r="B15" s="132"/>
      <c r="C15" s="132"/>
      <c r="D15" s="132"/>
      <c r="E15" s="132"/>
      <c r="I15" s="132"/>
      <c r="J15" s="132"/>
      <c r="K15" s="132"/>
      <c r="L15" s="170"/>
      <c r="Q15" s="175"/>
    </row>
    <row r="16" spans="1:24" ht="13.8" x14ac:dyDescent="0.3">
      <c r="A16" s="145" t="s">
        <v>238</v>
      </c>
      <c r="B16" s="183"/>
      <c r="C16" s="402" t="s">
        <v>266</v>
      </c>
      <c r="D16" s="405">
        <f>B16+B17+B18</f>
        <v>0</v>
      </c>
      <c r="E16" s="132"/>
      <c r="F16" s="132"/>
      <c r="H16" s="145" t="s">
        <v>238</v>
      </c>
      <c r="I16" s="183"/>
      <c r="J16" s="393" t="s">
        <v>266</v>
      </c>
      <c r="K16" s="405">
        <f>I16+I17+I18</f>
        <v>0</v>
      </c>
      <c r="L16" s="170"/>
      <c r="M16" s="382" t="s">
        <v>226</v>
      </c>
      <c r="N16" s="383"/>
      <c r="O16" s="384"/>
      <c r="Q16" s="175"/>
      <c r="R16" s="382" t="s">
        <v>116</v>
      </c>
      <c r="S16" s="383"/>
      <c r="T16" s="384"/>
      <c r="V16" s="396" t="s">
        <v>364</v>
      </c>
      <c r="W16" s="397"/>
      <c r="X16" s="398"/>
    </row>
    <row r="17" spans="1:24" ht="13.8" x14ac:dyDescent="0.3">
      <c r="A17" s="146" t="s">
        <v>239</v>
      </c>
      <c r="B17" s="135"/>
      <c r="C17" s="403"/>
      <c r="D17" s="406"/>
      <c r="E17" s="132"/>
      <c r="F17" s="132"/>
      <c r="H17" s="146" t="s">
        <v>239</v>
      </c>
      <c r="I17" s="135"/>
      <c r="J17" s="394"/>
      <c r="K17" s="406"/>
      <c r="L17" s="170"/>
      <c r="M17" s="148"/>
      <c r="N17" s="141" t="s">
        <v>251</v>
      </c>
      <c r="O17" s="150" t="s">
        <v>117</v>
      </c>
      <c r="Q17" s="175"/>
      <c r="R17" s="148"/>
      <c r="S17" s="141" t="s">
        <v>251</v>
      </c>
      <c r="T17" s="150" t="s">
        <v>117</v>
      </c>
      <c r="V17" s="262"/>
      <c r="W17" s="141" t="s">
        <v>64</v>
      </c>
      <c r="X17" s="150" t="s">
        <v>0</v>
      </c>
    </row>
    <row r="18" spans="1:24" ht="14.4" thickBot="1" x14ac:dyDescent="0.35">
      <c r="A18" s="147" t="s">
        <v>240</v>
      </c>
      <c r="B18" s="173"/>
      <c r="C18" s="404"/>
      <c r="D18" s="407"/>
      <c r="E18" s="132"/>
      <c r="F18" s="132"/>
      <c r="H18" s="147" t="s">
        <v>240</v>
      </c>
      <c r="I18" s="173"/>
      <c r="J18" s="395"/>
      <c r="K18" s="407"/>
      <c r="L18" s="170"/>
      <c r="M18" s="174" t="s">
        <v>78</v>
      </c>
      <c r="N18" s="184">
        <f>D6+D13+D16</f>
        <v>0</v>
      </c>
      <c r="O18" s="185">
        <f>N18-D37</f>
        <v>0</v>
      </c>
      <c r="Q18" s="175"/>
      <c r="R18" s="154" t="s">
        <v>249</v>
      </c>
      <c r="S18" s="184">
        <f>K3+K5+K13+K16</f>
        <v>0</v>
      </c>
      <c r="T18" s="185">
        <f>S18-K32</f>
        <v>0</v>
      </c>
      <c r="V18" s="154" t="s">
        <v>249</v>
      </c>
      <c r="W18" s="265">
        <f>Q10+V10</f>
        <v>0</v>
      </c>
      <c r="X18" s="267">
        <f>W18/3</f>
        <v>0</v>
      </c>
    </row>
    <row r="19" spans="1:24" ht="14.4" thickBot="1" x14ac:dyDescent="0.35">
      <c r="A19" s="132"/>
      <c r="B19" s="132"/>
      <c r="C19" s="132"/>
      <c r="D19" s="132"/>
      <c r="E19" s="132"/>
      <c r="F19" s="132"/>
      <c r="H19" s="132"/>
      <c r="I19" s="132"/>
      <c r="J19" s="132"/>
      <c r="K19" s="132"/>
      <c r="L19" s="170"/>
      <c r="M19" s="178"/>
      <c r="N19" s="165"/>
      <c r="O19" s="179"/>
      <c r="Q19" s="175"/>
      <c r="R19" s="155" t="s">
        <v>248</v>
      </c>
      <c r="S19" s="184">
        <f>K4+K6</f>
        <v>0</v>
      </c>
      <c r="T19" s="185">
        <f>S19-K37</f>
        <v>0</v>
      </c>
      <c r="V19" s="263" t="s">
        <v>248</v>
      </c>
      <c r="W19" s="266">
        <f>Q13+V13+P14+U14</f>
        <v>0</v>
      </c>
      <c r="X19" s="268">
        <f>W19/3</f>
        <v>0</v>
      </c>
    </row>
    <row r="20" spans="1:24" ht="14.4" thickBot="1" x14ac:dyDescent="0.35">
      <c r="A20" s="375" t="s">
        <v>233</v>
      </c>
      <c r="B20" s="376"/>
      <c r="C20" s="376"/>
      <c r="D20" s="377"/>
      <c r="E20" s="130"/>
      <c r="F20" s="132"/>
      <c r="G20" s="360" t="s">
        <v>262</v>
      </c>
      <c r="H20" s="361"/>
      <c r="I20" s="361"/>
      <c r="J20" s="361"/>
      <c r="K20" s="362"/>
      <c r="L20" s="132"/>
      <c r="M20" s="180"/>
      <c r="N20" s="181"/>
      <c r="O20" s="182"/>
      <c r="Q20" s="175"/>
      <c r="R20" s="174" t="s">
        <v>78</v>
      </c>
      <c r="S20" s="186">
        <f>K7+K13+K16</f>
        <v>0</v>
      </c>
      <c r="T20" s="187">
        <f>S20-K38</f>
        <v>0</v>
      </c>
    </row>
    <row r="21" spans="1:24" ht="14.4" thickBot="1" x14ac:dyDescent="0.35">
      <c r="A21" s="159" t="s">
        <v>0</v>
      </c>
      <c r="B21" s="151" t="s">
        <v>234</v>
      </c>
      <c r="C21" s="151" t="s">
        <v>115</v>
      </c>
      <c r="D21" s="150"/>
      <c r="E21" s="132"/>
      <c r="F21" s="132"/>
      <c r="G21" s="159" t="s">
        <v>235</v>
      </c>
      <c r="H21" s="151" t="s">
        <v>0</v>
      </c>
      <c r="I21" s="151" t="s">
        <v>234</v>
      </c>
      <c r="J21" s="151" t="s">
        <v>115</v>
      </c>
      <c r="K21" s="150"/>
      <c r="L21" s="132"/>
      <c r="V21" s="280"/>
      <c r="W21" s="278" t="s">
        <v>365</v>
      </c>
      <c r="X21" s="279" t="s">
        <v>0</v>
      </c>
    </row>
    <row r="22" spans="1:24" ht="14.4" thickBot="1" x14ac:dyDescent="0.35">
      <c r="A22" s="162"/>
      <c r="B22" s="135"/>
      <c r="C22" s="135"/>
      <c r="D22" s="171">
        <f t="shared" ref="D22:D31" si="1">A22*B22*C22</f>
        <v>0</v>
      </c>
      <c r="E22" s="132"/>
      <c r="F22" s="132"/>
      <c r="G22" s="284"/>
      <c r="H22" s="135"/>
      <c r="I22" s="135"/>
      <c r="J22" s="135"/>
      <c r="K22" s="172">
        <f t="shared" ref="K22:K31" si="2">G22*H22*I22*J22</f>
        <v>0</v>
      </c>
      <c r="L22" s="158"/>
      <c r="M22" s="363" t="s">
        <v>61</v>
      </c>
      <c r="N22" s="364"/>
      <c r="O22" s="365"/>
      <c r="Q22" s="175"/>
      <c r="R22" s="363" t="s">
        <v>62</v>
      </c>
      <c r="S22" s="364"/>
      <c r="T22" s="365"/>
      <c r="V22" s="156" t="s">
        <v>87</v>
      </c>
      <c r="W22" s="281">
        <f>I7+O14+T14</f>
        <v>0</v>
      </c>
      <c r="X22" s="264">
        <f>W22/2.5</f>
        <v>0</v>
      </c>
    </row>
    <row r="23" spans="1:24" ht="13.8" x14ac:dyDescent="0.3">
      <c r="A23" s="162"/>
      <c r="B23" s="135"/>
      <c r="C23" s="135"/>
      <c r="D23" s="171">
        <f>A23*B23*C23</f>
        <v>0</v>
      </c>
      <c r="E23" s="132"/>
      <c r="F23" s="132"/>
      <c r="G23" s="284"/>
      <c r="H23" s="135"/>
      <c r="I23" s="135"/>
      <c r="J23" s="135"/>
      <c r="K23" s="172">
        <f t="shared" si="2"/>
        <v>0</v>
      </c>
      <c r="L23" s="158"/>
      <c r="M23" s="148"/>
      <c r="N23" s="149" t="s">
        <v>356</v>
      </c>
      <c r="O23" s="150" t="s">
        <v>0</v>
      </c>
      <c r="R23" s="148"/>
      <c r="S23" s="149" t="s">
        <v>357</v>
      </c>
      <c r="T23" s="150" t="s">
        <v>0</v>
      </c>
    </row>
    <row r="24" spans="1:24" ht="13.8" x14ac:dyDescent="0.3">
      <c r="A24" s="162"/>
      <c r="B24" s="135"/>
      <c r="C24" s="135"/>
      <c r="D24" s="171">
        <f>A24*B24*C24</f>
        <v>0</v>
      </c>
      <c r="E24" s="132"/>
      <c r="F24" s="132"/>
      <c r="G24" s="284"/>
      <c r="H24" s="135"/>
      <c r="I24" s="135"/>
      <c r="J24" s="135"/>
      <c r="K24" s="172">
        <f>G24*H24*I24*J24</f>
        <v>0</v>
      </c>
      <c r="L24" s="158"/>
      <c r="M24" s="366" t="s">
        <v>265</v>
      </c>
      <c r="N24" s="370">
        <f>O18+(O18*(8/100))</f>
        <v>0</v>
      </c>
      <c r="O24" s="374">
        <f>N24/(1.2*2.4)</f>
        <v>0</v>
      </c>
      <c r="R24" s="366" t="s">
        <v>252</v>
      </c>
      <c r="S24" s="370">
        <f>T18+(T18*(5/100))</f>
        <v>0</v>
      </c>
      <c r="T24" s="374">
        <f>S24/(1.2*2.5)</f>
        <v>0</v>
      </c>
    </row>
    <row r="25" spans="1:24" ht="13.8" x14ac:dyDescent="0.3">
      <c r="A25" s="162"/>
      <c r="B25" s="135"/>
      <c r="C25" s="135"/>
      <c r="D25" s="171">
        <f>A25*B25*C25</f>
        <v>0</v>
      </c>
      <c r="E25" s="132"/>
      <c r="F25" s="132"/>
      <c r="G25" s="284"/>
      <c r="H25" s="135"/>
      <c r="I25" s="135"/>
      <c r="J25" s="135"/>
      <c r="K25" s="172">
        <f t="shared" si="2"/>
        <v>0</v>
      </c>
      <c r="L25" s="158"/>
      <c r="M25" s="366"/>
      <c r="N25" s="370"/>
      <c r="O25" s="374"/>
      <c r="R25" s="366"/>
      <c r="S25" s="370"/>
      <c r="T25" s="374"/>
    </row>
    <row r="26" spans="1:24" ht="13.8" x14ac:dyDescent="0.3">
      <c r="A26" s="162"/>
      <c r="B26" s="135"/>
      <c r="C26" s="135"/>
      <c r="D26" s="171">
        <f>A26*B26*C26</f>
        <v>0</v>
      </c>
      <c r="E26" s="132"/>
      <c r="F26" s="132"/>
      <c r="G26" s="284"/>
      <c r="H26" s="135"/>
      <c r="I26" s="135"/>
      <c r="J26" s="135"/>
      <c r="K26" s="172">
        <f t="shared" si="2"/>
        <v>0</v>
      </c>
      <c r="L26" s="158"/>
      <c r="M26" s="378" t="s">
        <v>267</v>
      </c>
      <c r="N26" s="370">
        <f>O18+(O18*(8/100))</f>
        <v>0</v>
      </c>
      <c r="O26" s="374">
        <f>N26</f>
        <v>0</v>
      </c>
      <c r="R26" s="378" t="s">
        <v>253</v>
      </c>
      <c r="S26" s="372">
        <f>T19+(T19*(5/100))</f>
        <v>0</v>
      </c>
      <c r="T26" s="374">
        <f>S26/(1.2*2.5)</f>
        <v>0</v>
      </c>
    </row>
    <row r="27" spans="1:24" ht="13.8" x14ac:dyDescent="0.3">
      <c r="A27" s="162"/>
      <c r="B27" s="135"/>
      <c r="C27" s="135"/>
      <c r="D27" s="171">
        <f>A27*B27*C27</f>
        <v>0</v>
      </c>
      <c r="E27" s="132"/>
      <c r="F27" s="132"/>
      <c r="G27" s="284"/>
      <c r="H27" s="135"/>
      <c r="I27" s="135"/>
      <c r="J27" s="135"/>
      <c r="K27" s="172">
        <f t="shared" si="2"/>
        <v>0</v>
      </c>
      <c r="L27" s="158"/>
      <c r="M27" s="378"/>
      <c r="N27" s="370"/>
      <c r="O27" s="374"/>
      <c r="R27" s="378"/>
      <c r="S27" s="373"/>
      <c r="T27" s="374"/>
    </row>
    <row r="28" spans="1:24" ht="13.8" x14ac:dyDescent="0.3">
      <c r="A28" s="135"/>
      <c r="B28" s="135"/>
      <c r="C28" s="135"/>
      <c r="D28" s="171">
        <f t="shared" si="1"/>
        <v>0</v>
      </c>
      <c r="E28" s="132"/>
      <c r="F28" s="132"/>
      <c r="G28" s="284"/>
      <c r="H28" s="135"/>
      <c r="I28" s="135"/>
      <c r="J28" s="135"/>
      <c r="K28" s="172">
        <f t="shared" si="2"/>
        <v>0</v>
      </c>
      <c r="L28" s="176"/>
      <c r="M28" s="408" t="s">
        <v>268</v>
      </c>
      <c r="N28" s="410">
        <f>O18+(O18*(8/100))</f>
        <v>0</v>
      </c>
      <c r="O28" s="412">
        <f>N28/(1.2*2.5)</f>
        <v>0</v>
      </c>
      <c r="Q28" s="175"/>
      <c r="R28" s="414" t="s">
        <v>263</v>
      </c>
      <c r="S28" s="410">
        <f>T20+(T20*(5/100))</f>
        <v>0</v>
      </c>
      <c r="T28" s="412">
        <f>S28/(1.22*2.44)</f>
        <v>0</v>
      </c>
    </row>
    <row r="29" spans="1:24" ht="14.4" thickBot="1" x14ac:dyDescent="0.35">
      <c r="A29" s="135"/>
      <c r="B29" s="135"/>
      <c r="C29" s="135"/>
      <c r="D29" s="171">
        <f t="shared" si="1"/>
        <v>0</v>
      </c>
      <c r="E29" s="132"/>
      <c r="F29" s="132"/>
      <c r="G29" s="284"/>
      <c r="H29" s="135"/>
      <c r="I29" s="135"/>
      <c r="J29" s="135"/>
      <c r="K29" s="172">
        <f t="shared" si="2"/>
        <v>0</v>
      </c>
      <c r="L29" s="176"/>
      <c r="M29" s="409"/>
      <c r="N29" s="411"/>
      <c r="O29" s="413"/>
      <c r="R29" s="415"/>
      <c r="S29" s="411"/>
      <c r="T29" s="413"/>
    </row>
    <row r="30" spans="1:24" ht="13.8" x14ac:dyDescent="0.3">
      <c r="A30" s="256"/>
      <c r="B30" s="135"/>
      <c r="C30" s="135"/>
      <c r="D30" s="171">
        <f t="shared" si="1"/>
        <v>0</v>
      </c>
      <c r="E30" s="132"/>
      <c r="F30" s="132"/>
      <c r="G30" s="284"/>
      <c r="H30" s="135"/>
      <c r="I30" s="135"/>
      <c r="J30" s="135"/>
      <c r="K30" s="172">
        <f t="shared" si="2"/>
        <v>0</v>
      </c>
      <c r="L30" s="176"/>
    </row>
    <row r="31" spans="1:24" ht="13.8" x14ac:dyDescent="0.3">
      <c r="A31" s="256"/>
      <c r="B31" s="135"/>
      <c r="C31" s="135"/>
      <c r="D31" s="171">
        <f t="shared" si="1"/>
        <v>0</v>
      </c>
      <c r="E31" s="132"/>
      <c r="F31" s="132"/>
      <c r="G31" s="284"/>
      <c r="H31" s="135"/>
      <c r="I31" s="135"/>
      <c r="J31" s="135"/>
      <c r="K31" s="172">
        <f t="shared" si="2"/>
        <v>0</v>
      </c>
      <c r="L31" s="176"/>
    </row>
    <row r="32" spans="1:24" ht="14.4" thickBot="1" x14ac:dyDescent="0.35">
      <c r="A32" s="162"/>
      <c r="B32" s="135"/>
      <c r="C32" s="135"/>
      <c r="D32" s="171">
        <f>A32*B32*C32</f>
        <v>0</v>
      </c>
      <c r="E32" s="132"/>
      <c r="F32" s="132"/>
      <c r="G32" s="416" t="s">
        <v>256</v>
      </c>
      <c r="H32" s="417"/>
      <c r="I32" s="417"/>
      <c r="J32" s="418"/>
      <c r="K32" s="168">
        <f>SUM(K22:K31)</f>
        <v>0</v>
      </c>
      <c r="L32" s="158"/>
    </row>
    <row r="33" spans="1:20" ht="13.8" x14ac:dyDescent="0.3">
      <c r="A33" s="162"/>
      <c r="B33" s="135"/>
      <c r="C33" s="135"/>
      <c r="D33" s="171">
        <f t="shared" ref="D33:D34" si="3">A33*B33*C33</f>
        <v>0</v>
      </c>
      <c r="E33" s="132"/>
      <c r="F33" s="132"/>
      <c r="G33" s="399" t="s">
        <v>261</v>
      </c>
      <c r="H33" s="400"/>
      <c r="I33" s="400"/>
      <c r="J33" s="400"/>
      <c r="K33" s="401"/>
      <c r="L33" s="132"/>
    </row>
    <row r="34" spans="1:20" ht="13.8" x14ac:dyDescent="0.3">
      <c r="A34" s="162"/>
      <c r="B34" s="135"/>
      <c r="C34" s="135"/>
      <c r="D34" s="171">
        <f t="shared" si="3"/>
        <v>0</v>
      </c>
      <c r="E34" s="132"/>
      <c r="F34" s="132"/>
      <c r="G34" s="284"/>
      <c r="H34" s="135"/>
      <c r="I34" s="135"/>
      <c r="J34" s="135"/>
      <c r="K34" s="172">
        <f t="shared" ref="K34:K36" si="4">H34*I34*J34*G34</f>
        <v>0</v>
      </c>
      <c r="L34" s="176"/>
    </row>
    <row r="35" spans="1:20" ht="13.8" x14ac:dyDescent="0.3">
      <c r="A35" s="162"/>
      <c r="B35" s="135"/>
      <c r="C35" s="135"/>
      <c r="D35" s="171">
        <f>A35*B35*C35</f>
        <v>0</v>
      </c>
      <c r="E35" s="132"/>
      <c r="F35" s="132"/>
      <c r="G35" s="284"/>
      <c r="H35" s="135"/>
      <c r="I35" s="135"/>
      <c r="J35" s="135"/>
      <c r="K35" s="172">
        <f t="shared" si="4"/>
        <v>0</v>
      </c>
      <c r="L35" s="176"/>
    </row>
    <row r="36" spans="1:20" ht="13.8" x14ac:dyDescent="0.3">
      <c r="A36" s="162"/>
      <c r="B36" s="135"/>
      <c r="C36" s="135"/>
      <c r="D36" s="171">
        <f>A36*B36*C36</f>
        <v>0</v>
      </c>
      <c r="E36" s="132"/>
      <c r="F36" s="132"/>
      <c r="G36" s="126"/>
      <c r="H36" s="125"/>
      <c r="I36" s="125"/>
      <c r="J36" s="125"/>
      <c r="K36" s="172">
        <f t="shared" si="4"/>
        <v>0</v>
      </c>
      <c r="L36" s="169"/>
      <c r="Q36" s="175"/>
    </row>
    <row r="37" spans="1:20" ht="14.4" thickBot="1" x14ac:dyDescent="0.35">
      <c r="A37" s="156"/>
      <c r="B37" s="157"/>
      <c r="C37" s="144" t="s">
        <v>236</v>
      </c>
      <c r="D37" s="166">
        <f>SUM(D22:D36)</f>
        <v>0</v>
      </c>
      <c r="E37" s="132"/>
      <c r="F37" s="132"/>
      <c r="G37" s="385" t="s">
        <v>257</v>
      </c>
      <c r="H37" s="386"/>
      <c r="I37" s="386"/>
      <c r="J37" s="387"/>
      <c r="K37" s="167">
        <f>SUM(K34:K36)</f>
        <v>0</v>
      </c>
      <c r="L37" s="132"/>
      <c r="Q37" s="175"/>
    </row>
    <row r="38" spans="1:20" ht="14.4" thickBot="1" x14ac:dyDescent="0.35">
      <c r="E38" s="132"/>
      <c r="F38" s="132"/>
      <c r="G38" s="379" t="s">
        <v>255</v>
      </c>
      <c r="H38" s="380"/>
      <c r="I38" s="380"/>
      <c r="J38" s="381"/>
      <c r="K38" s="168">
        <f>SUM(K32+K37)</f>
        <v>0</v>
      </c>
      <c r="L38" s="132"/>
      <c r="Q38" s="175"/>
    </row>
    <row r="39" spans="1:20" ht="13.8" x14ac:dyDescent="0.3">
      <c r="A39" s="132"/>
      <c r="B39" s="132"/>
      <c r="C39" s="132"/>
      <c r="D39" s="169"/>
      <c r="E39" s="132"/>
      <c r="F39" s="132"/>
      <c r="G39" s="132"/>
      <c r="H39" s="132"/>
      <c r="I39" s="132"/>
      <c r="J39" s="132"/>
      <c r="K39" s="132"/>
      <c r="L39" s="132"/>
      <c r="Q39" s="175"/>
    </row>
    <row r="41" spans="1:20" ht="13.8" x14ac:dyDescent="0.3">
      <c r="R41" s="132"/>
      <c r="S41" s="132"/>
      <c r="T41" s="132"/>
    </row>
    <row r="45" spans="1:20" ht="13.8" x14ac:dyDescent="0.3">
      <c r="J45" s="132"/>
      <c r="K45" s="132"/>
      <c r="L45" s="132"/>
    </row>
    <row r="46" spans="1:20" ht="13.8" x14ac:dyDescent="0.3">
      <c r="M46" s="132"/>
      <c r="N46" s="132"/>
      <c r="O46" s="132"/>
      <c r="P46" s="132"/>
    </row>
    <row r="47" spans="1:20" ht="13.8" x14ac:dyDescent="0.3">
      <c r="M47" s="132"/>
      <c r="N47" s="132"/>
      <c r="O47" s="132"/>
      <c r="P47" s="132"/>
    </row>
    <row r="48" spans="1:20" ht="13.8" x14ac:dyDescent="0.3">
      <c r="M48" s="132"/>
      <c r="N48" s="132"/>
      <c r="O48" s="132"/>
      <c r="P48" s="132"/>
    </row>
    <row r="49" spans="1:20" ht="13.8" x14ac:dyDescent="0.3">
      <c r="A49" s="132"/>
      <c r="B49" s="132"/>
      <c r="C49" s="132"/>
      <c r="D49" s="132"/>
      <c r="E49" s="132"/>
      <c r="F49" s="132"/>
      <c r="G49" s="132"/>
      <c r="H49" s="132"/>
      <c r="I49" s="132"/>
      <c r="M49" s="132"/>
      <c r="N49" s="132"/>
      <c r="O49" s="132"/>
      <c r="P49" s="132"/>
    </row>
    <row r="50" spans="1:20" ht="13.8" x14ac:dyDescent="0.3">
      <c r="D50" s="132"/>
      <c r="E50" s="132"/>
      <c r="F50" s="132"/>
      <c r="G50" s="132"/>
      <c r="H50" s="132"/>
      <c r="M50" s="132"/>
      <c r="N50" s="132"/>
      <c r="O50" s="132"/>
      <c r="P50" s="132"/>
    </row>
    <row r="51" spans="1:20" ht="13.8" x14ac:dyDescent="0.3">
      <c r="D51" s="132"/>
      <c r="E51" s="132"/>
      <c r="F51" s="132"/>
      <c r="G51" s="132"/>
      <c r="H51" s="132"/>
      <c r="L51" s="132"/>
      <c r="M51" s="132"/>
      <c r="N51" s="132"/>
      <c r="O51" s="132"/>
      <c r="P51" s="132"/>
    </row>
    <row r="52" spans="1:20" ht="12.75" customHeight="1" x14ac:dyDescent="0.3">
      <c r="D52" s="132"/>
      <c r="E52" s="132"/>
      <c r="F52" s="132"/>
      <c r="L52" s="132"/>
      <c r="M52" s="132"/>
      <c r="N52" s="132"/>
    </row>
    <row r="53" spans="1:20" ht="13.8" x14ac:dyDescent="0.3">
      <c r="D53" s="132"/>
      <c r="E53" s="132"/>
      <c r="F53" s="132"/>
      <c r="L53" s="132"/>
      <c r="M53" s="132"/>
      <c r="N53" s="132"/>
    </row>
    <row r="54" spans="1:20" ht="12.75" customHeight="1" x14ac:dyDescent="0.3">
      <c r="D54" s="132"/>
      <c r="E54" s="132"/>
      <c r="F54" s="132"/>
      <c r="L54" s="132"/>
      <c r="M54" s="132"/>
      <c r="N54" s="132"/>
    </row>
    <row r="55" spans="1:20" ht="13.8" x14ac:dyDescent="0.3">
      <c r="D55" s="132"/>
      <c r="E55" s="132"/>
      <c r="F55" s="132"/>
      <c r="L55" s="132"/>
      <c r="M55" s="132"/>
      <c r="N55" s="132"/>
    </row>
    <row r="56" spans="1:20" ht="13.8" x14ac:dyDescent="0.3">
      <c r="R56" s="132"/>
      <c r="S56" s="132"/>
      <c r="T56" s="132"/>
    </row>
  </sheetData>
  <mergeCells count="41">
    <mergeCell ref="V16:X16"/>
    <mergeCell ref="G33:K33"/>
    <mergeCell ref="C16:C18"/>
    <mergeCell ref="D16:D18"/>
    <mergeCell ref="K16:K18"/>
    <mergeCell ref="M28:M29"/>
    <mergeCell ref="N28:N29"/>
    <mergeCell ref="M22:O22"/>
    <mergeCell ref="M24:M25"/>
    <mergeCell ref="N24:N25"/>
    <mergeCell ref="O24:O25"/>
    <mergeCell ref="O28:O29"/>
    <mergeCell ref="R28:R29"/>
    <mergeCell ref="S28:S29"/>
    <mergeCell ref="T28:T29"/>
    <mergeCell ref="G32:J32"/>
    <mergeCell ref="G37:J37"/>
    <mergeCell ref="G38:J38"/>
    <mergeCell ref="H9:K9"/>
    <mergeCell ref="H13:J13"/>
    <mergeCell ref="J16:J18"/>
    <mergeCell ref="S26:S27"/>
    <mergeCell ref="T24:T25"/>
    <mergeCell ref="T26:T27"/>
    <mergeCell ref="A9:D9"/>
    <mergeCell ref="R26:R27"/>
    <mergeCell ref="M26:M27"/>
    <mergeCell ref="N26:N27"/>
    <mergeCell ref="O26:O27"/>
    <mergeCell ref="A13:C13"/>
    <mergeCell ref="A20:D20"/>
    <mergeCell ref="R16:T16"/>
    <mergeCell ref="M16:O16"/>
    <mergeCell ref="F1:F2"/>
    <mergeCell ref="G20:K20"/>
    <mergeCell ref="R22:T22"/>
    <mergeCell ref="R24:R25"/>
    <mergeCell ref="A1:D1"/>
    <mergeCell ref="S24:S25"/>
    <mergeCell ref="H1:K1"/>
    <mergeCell ref="F5:F6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D0DF-CD63-45A1-B36E-4AF35D1FE9BC}">
  <dimension ref="B2:R46"/>
  <sheetViews>
    <sheetView workbookViewId="0">
      <selection activeCell="J15" sqref="J15"/>
    </sheetView>
  </sheetViews>
  <sheetFormatPr defaultRowHeight="13.2" x14ac:dyDescent="0.25"/>
  <cols>
    <col min="15" max="15" width="16.44140625" bestFit="1" customWidth="1"/>
  </cols>
  <sheetData>
    <row r="2" spans="2:18" ht="13.8" thickBot="1" x14ac:dyDescent="0.3"/>
    <row r="3" spans="2:18" ht="13.8" x14ac:dyDescent="0.25">
      <c r="B3" s="444" t="s">
        <v>40</v>
      </c>
      <c r="C3" s="444"/>
      <c r="D3" s="444"/>
      <c r="E3" s="444"/>
      <c r="F3" s="444"/>
      <c r="O3" s="445" t="s">
        <v>303</v>
      </c>
      <c r="P3" s="446"/>
      <c r="Q3" s="446"/>
      <c r="R3" s="447"/>
    </row>
    <row r="4" spans="2:18" x14ac:dyDescent="0.25">
      <c r="B4" s="444"/>
      <c r="C4" s="444"/>
      <c r="D4" s="444"/>
      <c r="E4" s="444"/>
      <c r="F4" s="444"/>
      <c r="O4" s="191"/>
      <c r="P4" s="200" t="s">
        <v>304</v>
      </c>
      <c r="Q4" s="201" t="s">
        <v>305</v>
      </c>
      <c r="R4" s="195" t="s">
        <v>306</v>
      </c>
    </row>
    <row r="5" spans="2:18" ht="13.8" thickBot="1" x14ac:dyDescent="0.3">
      <c r="O5" s="202" t="s">
        <v>307</v>
      </c>
      <c r="P5" s="92">
        <v>10</v>
      </c>
      <c r="R5" s="192">
        <f>Q5*P5</f>
        <v>0</v>
      </c>
    </row>
    <row r="6" spans="2:18" x14ac:dyDescent="0.25">
      <c r="B6" s="419" t="s">
        <v>30</v>
      </c>
      <c r="C6" s="420"/>
      <c r="D6" s="206" t="s">
        <v>312</v>
      </c>
      <c r="O6" s="203" t="s">
        <v>308</v>
      </c>
      <c r="P6">
        <v>6</v>
      </c>
      <c r="R6" s="192"/>
    </row>
    <row r="7" spans="2:18" ht="13.8" thickBot="1" x14ac:dyDescent="0.3">
      <c r="B7" s="421"/>
      <c r="C7" s="422"/>
      <c r="D7" s="207" t="s">
        <v>313</v>
      </c>
      <c r="O7" s="203" t="s">
        <v>309</v>
      </c>
      <c r="P7">
        <v>10</v>
      </c>
      <c r="R7" s="192">
        <f>Q7*P7</f>
        <v>0</v>
      </c>
    </row>
    <row r="8" spans="2:18" ht="14.4" thickBot="1" x14ac:dyDescent="0.3">
      <c r="B8" s="208"/>
      <c r="C8" s="208"/>
      <c r="D8" s="92"/>
      <c r="O8" s="202" t="s">
        <v>310</v>
      </c>
      <c r="P8">
        <v>10</v>
      </c>
      <c r="R8" s="192">
        <f>Q8*P8</f>
        <v>0</v>
      </c>
    </row>
    <row r="9" spans="2:18" x14ac:dyDescent="0.25">
      <c r="B9" s="419" t="s">
        <v>29</v>
      </c>
      <c r="C9" s="420"/>
      <c r="D9" s="448" t="s">
        <v>314</v>
      </c>
      <c r="E9" s="449"/>
      <c r="F9" s="450"/>
      <c r="O9" s="202" t="s">
        <v>311</v>
      </c>
      <c r="P9">
        <v>6</v>
      </c>
      <c r="R9" s="192"/>
    </row>
    <row r="10" spans="2:18" ht="13.8" thickBot="1" x14ac:dyDescent="0.3">
      <c r="B10" s="421"/>
      <c r="C10" s="422"/>
      <c r="D10" s="437"/>
      <c r="E10" s="451"/>
      <c r="F10" s="452"/>
      <c r="O10" s="191"/>
      <c r="R10" s="192"/>
    </row>
    <row r="11" spans="2:18" ht="14.4" thickBot="1" x14ac:dyDescent="0.3">
      <c r="B11" s="208"/>
      <c r="C11" s="208"/>
      <c r="D11" s="92"/>
      <c r="O11" s="204"/>
      <c r="P11" s="194"/>
      <c r="Q11" s="199" t="s">
        <v>78</v>
      </c>
      <c r="R11" s="205">
        <f>SUM(R5:R8)</f>
        <v>0</v>
      </c>
    </row>
    <row r="12" spans="2:18" ht="13.8" thickBot="1" x14ac:dyDescent="0.3">
      <c r="B12" s="429" t="s">
        <v>315</v>
      </c>
      <c r="C12" s="430"/>
      <c r="D12" s="425" t="s">
        <v>316</v>
      </c>
      <c r="E12" s="440"/>
      <c r="F12" s="426"/>
    </row>
    <row r="13" spans="2:18" ht="13.8" thickBot="1" x14ac:dyDescent="0.3">
      <c r="B13" s="431"/>
      <c r="C13" s="432"/>
      <c r="D13" s="441" t="s">
        <v>317</v>
      </c>
      <c r="E13" s="442"/>
      <c r="F13" s="442"/>
      <c r="G13" s="442"/>
      <c r="H13" s="442"/>
      <c r="I13" s="442"/>
      <c r="J13" s="443"/>
    </row>
    <row r="14" spans="2:18" ht="14.4" thickBot="1" x14ac:dyDescent="0.3">
      <c r="B14" s="208"/>
      <c r="C14" s="208"/>
      <c r="D14" s="92"/>
    </row>
    <row r="15" spans="2:18" x14ac:dyDescent="0.25">
      <c r="B15" s="429" t="s">
        <v>12</v>
      </c>
      <c r="C15" s="430"/>
      <c r="D15" s="423" t="s">
        <v>318</v>
      </c>
    </row>
    <row r="16" spans="2:18" ht="13.8" thickBot="1" x14ac:dyDescent="0.3">
      <c r="B16" s="431"/>
      <c r="C16" s="432"/>
      <c r="D16" s="433"/>
    </row>
    <row r="17" spans="2:17" ht="14.4" thickBot="1" x14ac:dyDescent="0.3">
      <c r="B17" s="208"/>
      <c r="C17" s="208"/>
      <c r="D17" s="92"/>
    </row>
    <row r="18" spans="2:17" x14ac:dyDescent="0.25">
      <c r="B18" s="429" t="s">
        <v>319</v>
      </c>
      <c r="C18" s="430"/>
      <c r="D18" s="434" t="s">
        <v>320</v>
      </c>
      <c r="E18" s="435"/>
      <c r="F18" s="435"/>
      <c r="G18" s="435"/>
      <c r="H18" s="435"/>
      <c r="I18" s="435"/>
      <c r="J18" s="435"/>
      <c r="K18" s="435"/>
      <c r="L18" s="435"/>
      <c r="M18" s="435"/>
      <c r="N18" s="435"/>
      <c r="O18" s="435"/>
      <c r="P18" s="435"/>
      <c r="Q18" s="436"/>
    </row>
    <row r="19" spans="2:17" ht="13.8" thickBot="1" x14ac:dyDescent="0.3">
      <c r="B19" s="431"/>
      <c r="C19" s="432"/>
      <c r="D19" s="437" t="s">
        <v>321</v>
      </c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9"/>
    </row>
    <row r="20" spans="2:17" ht="14.4" thickBot="1" x14ac:dyDescent="0.3">
      <c r="B20" s="208"/>
      <c r="C20" s="208"/>
      <c r="D20" s="92"/>
    </row>
    <row r="21" spans="2:17" x14ac:dyDescent="0.25">
      <c r="B21" s="429" t="s">
        <v>166</v>
      </c>
      <c r="C21" s="430"/>
      <c r="D21" s="92"/>
    </row>
    <row r="22" spans="2:17" ht="13.8" thickBot="1" x14ac:dyDescent="0.3">
      <c r="B22" s="431"/>
      <c r="C22" s="432"/>
      <c r="D22" s="92"/>
    </row>
    <row r="23" spans="2:17" ht="14.4" thickBot="1" x14ac:dyDescent="0.3">
      <c r="B23" s="208"/>
      <c r="C23" s="208"/>
      <c r="D23" s="92"/>
    </row>
    <row r="24" spans="2:17" x14ac:dyDescent="0.25">
      <c r="B24" s="429" t="s">
        <v>167</v>
      </c>
      <c r="C24" s="430"/>
      <c r="D24" s="92" t="s">
        <v>322</v>
      </c>
    </row>
    <row r="25" spans="2:17" ht="13.8" thickBot="1" x14ac:dyDescent="0.3">
      <c r="B25" s="431"/>
      <c r="C25" s="432"/>
    </row>
    <row r="26" spans="2:17" ht="13.8" thickBot="1" x14ac:dyDescent="0.3"/>
    <row r="27" spans="2:17" x14ac:dyDescent="0.25">
      <c r="B27" s="429" t="s">
        <v>168</v>
      </c>
      <c r="C27" s="430"/>
    </row>
    <row r="28" spans="2:17" ht="13.8" thickBot="1" x14ac:dyDescent="0.3">
      <c r="B28" s="431"/>
      <c r="C28" s="432"/>
    </row>
    <row r="29" spans="2:17" ht="13.8" thickBot="1" x14ac:dyDescent="0.3"/>
    <row r="30" spans="2:17" x14ac:dyDescent="0.25">
      <c r="B30" s="419" t="s">
        <v>73</v>
      </c>
      <c r="C30" s="420"/>
      <c r="D30" s="425" t="s">
        <v>323</v>
      </c>
      <c r="E30" s="440"/>
      <c r="F30" s="440"/>
      <c r="G30" s="440"/>
      <c r="H30" s="440"/>
      <c r="I30" s="426"/>
    </row>
    <row r="31" spans="2:17" ht="13.8" thickBot="1" x14ac:dyDescent="0.3">
      <c r="B31" s="421"/>
      <c r="C31" s="422"/>
      <c r="D31" s="209" t="s">
        <v>324</v>
      </c>
      <c r="E31" s="194"/>
      <c r="F31" s="194"/>
      <c r="G31" s="194"/>
      <c r="H31" s="194"/>
      <c r="I31" s="193"/>
    </row>
    <row r="32" spans="2:17" ht="13.8" thickBot="1" x14ac:dyDescent="0.3"/>
    <row r="33" spans="2:5" x14ac:dyDescent="0.25">
      <c r="B33" s="419" t="s">
        <v>72</v>
      </c>
      <c r="C33" s="420"/>
      <c r="D33" s="210" t="s">
        <v>325</v>
      </c>
      <c r="E33" s="198"/>
    </row>
    <row r="34" spans="2:5" ht="13.8" thickBot="1" x14ac:dyDescent="0.3">
      <c r="B34" s="421"/>
      <c r="C34" s="422"/>
      <c r="D34" s="209" t="s">
        <v>326</v>
      </c>
      <c r="E34" s="193"/>
    </row>
    <row r="35" spans="2:5" ht="13.8" thickBot="1" x14ac:dyDescent="0.3"/>
    <row r="36" spans="2:5" x14ac:dyDescent="0.25">
      <c r="B36" s="419" t="s">
        <v>327</v>
      </c>
      <c r="C36" s="420"/>
      <c r="D36" s="425" t="s">
        <v>328</v>
      </c>
      <c r="E36" s="426"/>
    </row>
    <row r="37" spans="2:5" ht="13.8" thickBot="1" x14ac:dyDescent="0.3">
      <c r="B37" s="421"/>
      <c r="C37" s="422"/>
      <c r="D37" s="427" t="s">
        <v>329</v>
      </c>
      <c r="E37" s="428"/>
    </row>
    <row r="38" spans="2:5" ht="13.8" thickBot="1" x14ac:dyDescent="0.3"/>
    <row r="39" spans="2:5" x14ac:dyDescent="0.25">
      <c r="B39" s="419" t="s">
        <v>32</v>
      </c>
      <c r="C39" s="420"/>
      <c r="D39" s="423" t="s">
        <v>330</v>
      </c>
    </row>
    <row r="40" spans="2:5" ht="13.8" thickBot="1" x14ac:dyDescent="0.3">
      <c r="B40" s="421"/>
      <c r="C40" s="422"/>
      <c r="D40" s="424"/>
    </row>
    <row r="41" spans="2:5" ht="13.8" thickBot="1" x14ac:dyDescent="0.3"/>
    <row r="42" spans="2:5" x14ac:dyDescent="0.25">
      <c r="B42" s="419" t="s">
        <v>33</v>
      </c>
      <c r="C42" s="420"/>
      <c r="D42" s="423" t="s">
        <v>330</v>
      </c>
    </row>
    <row r="43" spans="2:5" ht="13.8" thickBot="1" x14ac:dyDescent="0.3">
      <c r="B43" s="421"/>
      <c r="C43" s="422"/>
      <c r="D43" s="424"/>
    </row>
    <row r="44" spans="2:5" ht="13.8" thickBot="1" x14ac:dyDescent="0.3"/>
    <row r="45" spans="2:5" x14ac:dyDescent="0.25">
      <c r="B45" s="419" t="s">
        <v>34</v>
      </c>
      <c r="C45" s="420"/>
      <c r="D45" s="423" t="s">
        <v>330</v>
      </c>
    </row>
    <row r="46" spans="2:5" ht="13.8" thickBot="1" x14ac:dyDescent="0.3">
      <c r="B46" s="421"/>
      <c r="C46" s="422"/>
      <c r="D46" s="424"/>
    </row>
  </sheetData>
  <mergeCells count="28">
    <mergeCell ref="B12:C13"/>
    <mergeCell ref="D12:F12"/>
    <mergeCell ref="D13:J13"/>
    <mergeCell ref="B3:F4"/>
    <mergeCell ref="O3:R3"/>
    <mergeCell ref="B6:C7"/>
    <mergeCell ref="B9:C10"/>
    <mergeCell ref="D9:F10"/>
    <mergeCell ref="B36:C37"/>
    <mergeCell ref="D36:E36"/>
    <mergeCell ref="D37:E37"/>
    <mergeCell ref="B15:C16"/>
    <mergeCell ref="D15:D16"/>
    <mergeCell ref="B18:C19"/>
    <mergeCell ref="D18:Q18"/>
    <mergeCell ref="D19:Q19"/>
    <mergeCell ref="B21:C22"/>
    <mergeCell ref="B24:C25"/>
    <mergeCell ref="B27:C28"/>
    <mergeCell ref="B30:C31"/>
    <mergeCell ref="D30:I30"/>
    <mergeCell ref="B33:C34"/>
    <mergeCell ref="B39:C40"/>
    <mergeCell ref="D39:D40"/>
    <mergeCell ref="B42:C43"/>
    <mergeCell ref="D42:D43"/>
    <mergeCell ref="B45:C46"/>
    <mergeCell ref="D45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ÇELİK</vt:lpstr>
      <vt:lpstr>PREFABRİK</vt:lpstr>
      <vt:lpstr>BATUHAN TINMAZ</vt:lpstr>
      <vt:lpstr>VİDA BİLGİ</vt:lpstr>
      <vt:lpstr>ÇELİK!Yazdırma_Alanı</vt:lpstr>
      <vt:lpstr>PREFABRİK!Yazdırma_Alanı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lokman sayım</cp:lastModifiedBy>
  <cp:lastPrinted>2026-01-22T08:30:17Z</cp:lastPrinted>
  <dcterms:created xsi:type="dcterms:W3CDTF">2000-04-29T05:09:31Z</dcterms:created>
  <dcterms:modified xsi:type="dcterms:W3CDTF">2026-01-22T08:31:02Z</dcterms:modified>
</cp:coreProperties>
</file>
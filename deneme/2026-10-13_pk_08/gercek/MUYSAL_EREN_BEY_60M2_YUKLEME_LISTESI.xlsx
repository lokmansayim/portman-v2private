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lokmansayim/Desktop/Portatifev Toptan/Bayiler/Muhammed Uysal/Eren Bey 60 m2 M.U./"/>
    </mc:Choice>
  </mc:AlternateContent>
  <xr:revisionPtr revIDLastSave="0" documentId="13_ncr:1_{4EA398C0-C0BE-5247-BE2D-3D38387A3E32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PREFABRİ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H196" i="1"/>
  <c r="H194" i="1"/>
  <c r="H193" i="1"/>
  <c r="H192" i="1"/>
  <c r="H190" i="1"/>
  <c r="H189" i="1"/>
  <c r="H188" i="1"/>
  <c r="H187" i="1"/>
  <c r="H171" i="1"/>
  <c r="H162" i="1"/>
  <c r="H160" i="1"/>
  <c r="H159" i="1"/>
  <c r="H158" i="1"/>
  <c r="H142" i="1"/>
  <c r="H138" i="1"/>
  <c r="H137" i="1"/>
  <c r="H136" i="1"/>
  <c r="H135" i="1"/>
  <c r="H127" i="1"/>
  <c r="H115" i="1"/>
  <c r="H109" i="1"/>
  <c r="H108" i="1"/>
  <c r="H106" i="1"/>
  <c r="H105" i="1"/>
  <c r="H104" i="1"/>
  <c r="H102" i="1"/>
  <c r="H100" i="1"/>
  <c r="H99" i="1"/>
  <c r="H98" i="1"/>
  <c r="H97" i="1"/>
  <c r="H89" i="1"/>
  <c r="H33" i="1"/>
  <c r="H32" i="1"/>
  <c r="H31" i="1"/>
  <c r="H30" i="1"/>
  <c r="H199" i="1" l="1"/>
</calcChain>
</file>

<file path=xl/sharedStrings.xml><?xml version="1.0" encoding="utf-8"?>
<sst xmlns="http://schemas.openxmlformats.org/spreadsheetml/2006/main" count="376" uniqueCount="229">
  <si>
    <t>MÜŞTERİ AD SOYAD</t>
  </si>
  <si>
    <t>İLETİŞİM NUMARASI</t>
  </si>
  <si>
    <t>SEVKİYAT YERİ</t>
  </si>
  <si>
    <t>SATIŞ TEMSİLCİSİ</t>
  </si>
  <si>
    <t>BİNA M2 / KAT ADEDİ / KAT YÜKSEKLİĞİ</t>
  </si>
  <si>
    <t>TEK</t>
  </si>
  <si>
    <t>HAZIRLANMA BİLGİLERİ</t>
  </si>
  <si>
    <t>HAZIRLAYAN</t>
  </si>
  <si>
    <t>TARİH</t>
  </si>
  <si>
    <t>KONTROL</t>
  </si>
  <si>
    <t>YAPIŞTIRMA VE KARKASLI PANEL GRUBU</t>
  </si>
  <si>
    <t>BOYUT</t>
  </si>
  <si>
    <t>ADET</t>
  </si>
  <si>
    <t>KG</t>
  </si>
  <si>
    <t>MAKİNE</t>
  </si>
  <si>
    <t xml:space="preserve"> ÜRETİM PERSONELİ YÜKLEME KONTROL</t>
  </si>
  <si>
    <t>BİRİM FİYAT</t>
  </si>
  <si>
    <t>TOPLAM</t>
  </si>
  <si>
    <t>100'LÜK YAPIŞTIRMA DOLU PANO</t>
  </si>
  <si>
    <t>100x1250x2500</t>
  </si>
  <si>
    <t>100'LÜK YAPIŞTIRMA DOLU VASİSTASLI PANO (60/40)</t>
  </si>
  <si>
    <t>60'LIK YAPIŞTIRMA DOLU PANO</t>
  </si>
  <si>
    <t>60x1250x2500</t>
  </si>
  <si>
    <t>PENCERE ÜST PANEL</t>
  </si>
  <si>
    <t>100x1250x500</t>
  </si>
  <si>
    <t>PENCERE ALT PANEL (120/120)</t>
  </si>
  <si>
    <t>100x1250x800</t>
  </si>
  <si>
    <t>KUBBE KARKASLI ÖZEL PENCERE PANOSU (53/180)</t>
  </si>
  <si>
    <t>100x790x2030</t>
  </si>
  <si>
    <t>KUBBE ÖZEL PANO</t>
  </si>
  <si>
    <t>100x2500x500</t>
  </si>
  <si>
    <t>KARKASLI ÇELİK KAPI PANOSU</t>
  </si>
  <si>
    <t xml:space="preserve">60'LIK KARKASLI +KASALI  PANOLAR                </t>
  </si>
  <si>
    <t>SORUMLI ÜRETİM PERSONELİ AD SOYAD</t>
  </si>
  <si>
    <t>EYÜP DERİN</t>
  </si>
  <si>
    <t xml:space="preserve">  İMZA </t>
  </si>
  <si>
    <t>METAL AKSAM GRUBU</t>
  </si>
  <si>
    <t xml:space="preserve">BOYUT </t>
  </si>
  <si>
    <t>UZUNLUK</t>
  </si>
  <si>
    <t>KÖŞE DİREĞİ</t>
  </si>
  <si>
    <t>100x100x2500</t>
  </si>
  <si>
    <t>60x60x2500</t>
  </si>
  <si>
    <t>KÖŞEBENT</t>
  </si>
  <si>
    <t>L:2500</t>
  </si>
  <si>
    <t xml:space="preserve">KUTU PROFİL  (KİRİŞ) </t>
  </si>
  <si>
    <t>100*100*4400</t>
  </si>
  <si>
    <t>100*100*2500</t>
  </si>
  <si>
    <t>PROFİL VİDALAMA APARATI</t>
  </si>
  <si>
    <t>H ( DÜBELLİ&amp;KULAKLI)</t>
  </si>
  <si>
    <t>H (  STANDART )</t>
  </si>
  <si>
    <t>60*60*2500</t>
  </si>
  <si>
    <t>ÇEKTİRME U'SU (60 LIK)</t>
  </si>
  <si>
    <t>60*2440</t>
  </si>
  <si>
    <t xml:space="preserve">KUBBE ÜSTÜ H </t>
  </si>
  <si>
    <t>100*100*500</t>
  </si>
  <si>
    <t>ÖZEL AÇILI KÖŞE DİREĞİ + KAPAMASI</t>
  </si>
  <si>
    <t>100*100*2330</t>
  </si>
  <si>
    <t>ÇEKTİRME U'SU (100 LÜK)</t>
  </si>
  <si>
    <t>100*2440</t>
  </si>
  <si>
    <t>100'LÜK PENCERE U SU H GEÇEN</t>
  </si>
  <si>
    <t>60'LIK DUVAR OMEGASI</t>
  </si>
  <si>
    <t>100'LÜK DUVAR OMEGASI</t>
  </si>
  <si>
    <t>100*2500</t>
  </si>
  <si>
    <t>100'LÜK SAÇAK OMEGASI</t>
  </si>
  <si>
    <t>( RENK ) SAÇAK SACI</t>
  </si>
  <si>
    <t>250*2800</t>
  </si>
  <si>
    <t>( RENK ) SIFIR SAÇAK SACI</t>
  </si>
  <si>
    <t xml:space="preserve">( RENK ) KUBBE SAÇAK SACI </t>
  </si>
  <si>
    <t>170*1500</t>
  </si>
  <si>
    <t>BAŞ MAKAS OMEGASI</t>
  </si>
  <si>
    <t>( RENK ) ALIN SACI</t>
  </si>
  <si>
    <t>BAŞ MAKAS Z'Sİ</t>
  </si>
  <si>
    <t>L:2800</t>
  </si>
  <si>
    <t>BAŞ MAKAS MENFEZİ</t>
  </si>
  <si>
    <t>BAŞ MAKAS BETOPANI</t>
  </si>
  <si>
    <t>1250*2500</t>
  </si>
  <si>
    <t>100'LÜK ALT ÇERÇEVE</t>
  </si>
  <si>
    <t>100*3750</t>
  </si>
  <si>
    <t>60'LIK ALT ÇERÇEVE</t>
  </si>
  <si>
    <t>60*3750</t>
  </si>
  <si>
    <t>AHMET BALABAN</t>
  </si>
  <si>
    <t>MAKAS GRUBU</t>
  </si>
  <si>
    <t>NET ALAN</t>
  </si>
  <si>
    <t>BRÜT ALAN</t>
  </si>
  <si>
    <t>AŞIK</t>
  </si>
  <si>
    <t>MAKAS (X BAŞ MAKAS, X ORTA MAKAS )</t>
  </si>
  <si>
    <t>L:</t>
  </si>
  <si>
    <t>CUMBA MAKAS</t>
  </si>
  <si>
    <t xml:space="preserve">YAVRU MAKAS </t>
  </si>
  <si>
    <t>ÇATI KAPLAMALARI GRUBU</t>
  </si>
  <si>
    <t>1220*2440</t>
  </si>
  <si>
    <t>(RENK) TRAPEZ SAC MAHYASI</t>
  </si>
  <si>
    <t>L:1000</t>
  </si>
  <si>
    <t>METRE</t>
  </si>
  <si>
    <t xml:space="preserve">KUBBE OSB </t>
  </si>
  <si>
    <t xml:space="preserve">KUBBE ANTRASİT SHİNGLE </t>
  </si>
  <si>
    <t>PAKET</t>
  </si>
  <si>
    <t xml:space="preserve">(RENK) TERS MAHYA </t>
  </si>
  <si>
    <t xml:space="preserve">(RENK) ÖZEL MAHYA GENİŞ OLAN </t>
  </si>
  <si>
    <t xml:space="preserve">ÇATI İZOLASYONU (KNAUF IBP037) </t>
  </si>
  <si>
    <t>Paket / 8,64 m²</t>
  </si>
  <si>
    <t>ÇATI ŞİLTESİ 80mm</t>
  </si>
  <si>
    <t>9,6 M2/ADET</t>
  </si>
  <si>
    <t>MEHMET BALABAN</t>
  </si>
  <si>
    <t>İÇ CEPHE KAPLAMALARI GRUBU</t>
  </si>
  <si>
    <t>( ASMA / TERS )TAVAN BEYAZ ALÇIPAN</t>
  </si>
  <si>
    <t>1200*2500</t>
  </si>
  <si>
    <t>( ASMA / TERS) TAVAN YEŞİL ALÇIPAN</t>
  </si>
  <si>
    <t>DERE GRUBU</t>
  </si>
  <si>
    <t>( RENK ) METAL DERE</t>
  </si>
  <si>
    <t>L:4000</t>
  </si>
  <si>
    <t>METAL DERE İNİŞİ APARATI</t>
  </si>
  <si>
    <t>DERE KAPAĞI</t>
  </si>
  <si>
    <t>70 MM PVC DERE İNİŞ BORUSU</t>
  </si>
  <si>
    <t>L:2000</t>
  </si>
  <si>
    <t>L:500</t>
  </si>
  <si>
    <t>AÇIK DİRSEK</t>
  </si>
  <si>
    <t>KAPALI  DİRSEK</t>
  </si>
  <si>
    <t>İNİŞ KELEPÇESİ</t>
  </si>
  <si>
    <t>DERE KELEPÇESİ</t>
  </si>
  <si>
    <t xml:space="preserve">AHMET BALABAN </t>
  </si>
  <si>
    <t>KAPI VE PENCERE GRUBU</t>
  </si>
  <si>
    <t>ÇELİK KAPI ( SAĞ )</t>
  </si>
  <si>
    <t>90*200</t>
  </si>
  <si>
    <t>AMERİKAN  KAPI ( 80 LİK KANAT ) (3 SOL, 1 SAĞ )</t>
  </si>
  <si>
    <t>82*196</t>
  </si>
  <si>
    <t>PVC DOĞRAMA+PERVAZ MATİK +BEYAZ+ÇİFT AÇILIM</t>
  </si>
  <si>
    <t>120*120</t>
  </si>
  <si>
    <t>PVC DOĞRAMA+PERVAZ MATİK + BEYAZ+VASİSTAS</t>
  </si>
  <si>
    <t>60*40</t>
  </si>
  <si>
    <t>DEPO GRUBU</t>
  </si>
  <si>
    <t>PVC PLASTİK BETOPAN H' I</t>
  </si>
  <si>
    <t>60X3000</t>
  </si>
  <si>
    <t>TAVAN H' I</t>
  </si>
  <si>
    <t>OMEGA KAPAK</t>
  </si>
  <si>
    <t xml:space="preserve">ÇELİK DÜBEL </t>
  </si>
  <si>
    <t>İÇ KAPI KİLİDİ + KOLU TAKIM</t>
  </si>
  <si>
    <t>Takım</t>
  </si>
  <si>
    <t>İÇ KAPI MENTEŞE</t>
  </si>
  <si>
    <t>Adet</t>
  </si>
  <si>
    <t>DIŞ KAPI KOL + KİLİT + BAREL</t>
  </si>
  <si>
    <t>VİDA GRUBU</t>
  </si>
  <si>
    <t xml:space="preserve"> ÜRETİM PERSONELİ YÜKLEME </t>
  </si>
  <si>
    <t>RYSB PUL BAŞLI  ( 3.9 x 32 )</t>
  </si>
  <si>
    <t>ALÇIPAN VİDASI  ( 3.5 x 35 )</t>
  </si>
  <si>
    <t>16 MM BETOPAN VE KAPI KOLLARI ( 3.9 x 32)</t>
  </si>
  <si>
    <t>PREFABRİK PENCERELER ( 4.8 x 70 )</t>
  </si>
  <si>
    <r>
      <t xml:space="preserve">( 5.5 x 25 ) TRAPEZ VİDA </t>
    </r>
    <r>
      <rPr>
        <b/>
        <sz val="8"/>
        <rFont val="Arial"/>
        <family val="2"/>
        <charset val="162"/>
      </rPr>
      <t>(AŞIK+OMEGA+KÖŞEBENT)</t>
    </r>
  </si>
  <si>
    <r>
      <t xml:space="preserve">( 5.5 x 60 ) TRAPEZ VİDA </t>
    </r>
    <r>
      <rPr>
        <b/>
        <sz val="8"/>
        <rFont val="Arial"/>
        <family val="2"/>
        <charset val="162"/>
      </rPr>
      <t>(TRAPEZ SAC / METAL KİREMİT)</t>
    </r>
  </si>
  <si>
    <r>
      <t xml:space="preserve">( 5.5 x 76 ) TRAPEZ VİDA </t>
    </r>
    <r>
      <rPr>
        <b/>
        <sz val="8"/>
        <rFont val="Arial"/>
        <family val="2"/>
        <charset val="162"/>
      </rPr>
      <t>(TEK KAT PANEL)</t>
    </r>
  </si>
  <si>
    <r>
      <t xml:space="preserve">( 5.5x 110) TRAPEZ VİDA </t>
    </r>
    <r>
      <rPr>
        <b/>
        <sz val="8"/>
        <rFont val="Arial"/>
        <family val="2"/>
        <charset val="162"/>
      </rPr>
      <t>( SANDVİÇ PANEL)</t>
    </r>
  </si>
  <si>
    <t>8 LİK TRAPEZ UÇ</t>
  </si>
  <si>
    <t>PH2 UÇ</t>
  </si>
  <si>
    <t>230 LUK KESME TAŞI</t>
  </si>
  <si>
    <t>İNOX TAŞ</t>
  </si>
  <si>
    <t>ÇIRPI İPİ</t>
  </si>
  <si>
    <t>ELEKTRİK GRUBU</t>
  </si>
  <si>
    <t>TİJLİ DUY</t>
  </si>
  <si>
    <t xml:space="preserve"> YUVARLAK GLOP </t>
  </si>
  <si>
    <t xml:space="preserve"> AMPUL</t>
  </si>
  <si>
    <t>NYM KABLO (3 x 2.5)</t>
  </si>
  <si>
    <t>3 x 2.5</t>
  </si>
  <si>
    <r>
      <t xml:space="preserve">NYM KABLO (3 x 1.5) </t>
    </r>
    <r>
      <rPr>
        <b/>
        <sz val="8"/>
        <color theme="1"/>
        <rFont val="Arial"/>
        <family val="2"/>
        <charset val="162"/>
      </rPr>
      <t>(VAVİEN)</t>
    </r>
  </si>
  <si>
    <t>3 x 1.5</t>
  </si>
  <si>
    <t>NYM KABLO (2 x 1.5)</t>
  </si>
  <si>
    <t>2 x 1.5</t>
  </si>
  <si>
    <t>UYDU KABLO</t>
  </si>
  <si>
    <r>
      <t xml:space="preserve">BESLEME KABLOSU </t>
    </r>
    <r>
      <rPr>
        <b/>
        <sz val="8"/>
        <color theme="1"/>
        <rFont val="Arial"/>
        <family val="2"/>
        <charset val="162"/>
      </rPr>
      <t>( SİGORTA KUTULARI ARASI )</t>
    </r>
  </si>
  <si>
    <t>TEKLİ ANAHTAR ( TAKIM )</t>
  </si>
  <si>
    <t>ÇİFTLİ ANAHTAR ( TAKIM )</t>
  </si>
  <si>
    <t>TEKLİ PRİZ ( TAKIM )</t>
  </si>
  <si>
    <t>ÇİFTLİ PRİZ (TAKIM)</t>
  </si>
  <si>
    <t>UYDU  PRİZİ ( TAKIM )</t>
  </si>
  <si>
    <t>ZİL</t>
  </si>
  <si>
    <t xml:space="preserve">BUAT KASA </t>
  </si>
  <si>
    <t>W OTOMAT (SİGORTA)</t>
  </si>
  <si>
    <t>16  Amper</t>
  </si>
  <si>
    <t xml:space="preserve">SİGORTA KUTUSU </t>
  </si>
  <si>
    <t>8 Lİ</t>
  </si>
  <si>
    <t>İZOLE BANT</t>
  </si>
  <si>
    <t>SIHHİ TESİSAT GRUBU</t>
  </si>
  <si>
    <t>TEMİZ SU BORUSU</t>
  </si>
  <si>
    <t>L : 4000</t>
  </si>
  <si>
    <t>NORMAL DİRSEK   20mm</t>
  </si>
  <si>
    <t>KULAKLI DİRSEK   20mm</t>
  </si>
  <si>
    <t>DÜZ T   20mm</t>
  </si>
  <si>
    <t>MAŞON   20mm</t>
  </si>
  <si>
    <t>İÇ DİŞLİ T   20mm</t>
  </si>
  <si>
    <t>ATLAMA PARÇASI YARIM PARMAK</t>
  </si>
  <si>
    <t>PİS SU TESİSATI</t>
  </si>
  <si>
    <t>TAKIM</t>
  </si>
  <si>
    <t>KALORİFER TESİSATI</t>
  </si>
  <si>
    <t>DUŞAKABİN</t>
  </si>
  <si>
    <t>KLOZET</t>
  </si>
  <si>
    <t>BANYO DOLABI</t>
  </si>
  <si>
    <t>AYAKLI LAVABO</t>
  </si>
  <si>
    <t>BACA BORUSU (13 CM ÇAP)</t>
  </si>
  <si>
    <t>BACA ŞAPKASI (40X40)</t>
  </si>
  <si>
    <t>BACA KÖR TAPA</t>
  </si>
  <si>
    <t xml:space="preserve">BACA T Sİ </t>
  </si>
  <si>
    <t>BOYA GRUBU</t>
  </si>
  <si>
    <t xml:space="preserve"> Dış Cephe Boyası</t>
  </si>
  <si>
    <t>L / 6 M2</t>
  </si>
  <si>
    <t xml:space="preserve"> İç Cephe </t>
  </si>
  <si>
    <t xml:space="preserve"> Tavan Boyası </t>
  </si>
  <si>
    <t>L / 4 M2</t>
  </si>
  <si>
    <t>Yalıpan Boyası</t>
  </si>
  <si>
    <t>Metal Boyası</t>
  </si>
  <si>
    <t>Tiner</t>
  </si>
  <si>
    <t>Silikonize Mastik</t>
  </si>
  <si>
    <t>Poliüretan Mastik</t>
  </si>
  <si>
    <t>Poliüretan Köpük</t>
  </si>
  <si>
    <t>GENEL KONTROL ONAY VEREN</t>
  </si>
  <si>
    <t>SEDAT BALABAN</t>
  </si>
  <si>
    <t>İMZA</t>
  </si>
  <si>
    <t xml:space="preserve">GENEL TOPLAM </t>
  </si>
  <si>
    <t>KUBBE KARKASLI ÖZEL PENCERE PANOSU (180/180)</t>
  </si>
  <si>
    <t>100x2500x2030</t>
  </si>
  <si>
    <t>L:4200</t>
  </si>
  <si>
    <t>MAKAS KİLO GRAM</t>
  </si>
  <si>
    <t>(RENK )TRAPEZ SAC ( 100 CM KAPATIR )</t>
  </si>
  <si>
    <t>L:4500</t>
  </si>
  <si>
    <t>L: 3500</t>
  </si>
  <si>
    <t>180*180</t>
  </si>
  <si>
    <t>50*180</t>
  </si>
  <si>
    <t>ADET L:3750</t>
  </si>
  <si>
    <t>L:1200</t>
  </si>
  <si>
    <t>Lokman SAYIM</t>
  </si>
  <si>
    <t>PORTATİF YÜKLEME LİSTESİ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</si>
</sst>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₺-41F]"/>
    <numFmt numFmtId="165" formatCode="&quot;₺&quot;#,##0.00"/>
    <numFmt numFmtId="166" formatCode="00000"/>
    <numFmt numFmtId="167" formatCode="0.0"/>
    <numFmt numFmtId="168" formatCode="#,##0.00\ &quot;₺&quot;"/>
    <numFmt numFmtId="169" formatCode="[$₺-41F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5"/>
      <color rgb="FFFF0000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2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8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2" fillId="4" borderId="5" xfId="0" applyFont="1" applyFill="1" applyBorder="1" applyAlignment="1">
      <alignment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2" fontId="2" fillId="5" borderId="0" xfId="0" applyNumberFormat="1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4" xfId="0" applyFont="1" applyFill="1" applyBorder="1" applyAlignment="1">
      <alignment horizontal="left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left" vertical="center" shrinkToFit="1"/>
    </xf>
    <xf numFmtId="14" fontId="2" fillId="7" borderId="4" xfId="0" applyNumberFormat="1" applyFont="1" applyFill="1" applyBorder="1" applyAlignment="1">
      <alignment horizontal="left" vertical="center" wrapText="1"/>
    </xf>
    <xf numFmtId="14" fontId="2" fillId="7" borderId="0" xfId="0" applyNumberFormat="1" applyFont="1" applyFill="1" applyAlignment="1">
      <alignment horizontal="left"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0" fontId="3" fillId="3" borderId="11" xfId="0" applyFont="1" applyFill="1" applyBorder="1"/>
    <xf numFmtId="0" fontId="5" fillId="3" borderId="11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  <xf numFmtId="164" fontId="5" fillId="3" borderId="12" xfId="0" applyNumberFormat="1" applyFont="1" applyFill="1" applyBorder="1" applyAlignment="1">
      <alignment horizontal="center" vertical="center" wrapText="1"/>
    </xf>
    <xf numFmtId="164" fontId="5" fillId="3" borderId="11" xfId="0" applyNumberFormat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164" fontId="5" fillId="3" borderId="14" xfId="0" applyNumberFormat="1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164" fontId="5" fillId="13" borderId="3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1" fontId="5" fillId="3" borderId="11" xfId="0" applyNumberFormat="1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wrapText="1"/>
    </xf>
    <xf numFmtId="165" fontId="3" fillId="3" borderId="11" xfId="0" applyNumberFormat="1" applyFont="1" applyFill="1" applyBorder="1"/>
    <xf numFmtId="0" fontId="5" fillId="3" borderId="12" xfId="0" applyFont="1" applyFill="1" applyBorder="1" applyAlignment="1">
      <alignment horizontal="center" vertical="center" wrapText="1"/>
    </xf>
    <xf numFmtId="166" fontId="5" fillId="0" borderId="11" xfId="0" applyNumberFormat="1" applyFont="1" applyBorder="1" applyAlignment="1">
      <alignment horizontal="left" vertical="center" wrapText="1"/>
    </xf>
    <xf numFmtId="166" fontId="5" fillId="0" borderId="11" xfId="0" applyNumberFormat="1" applyFont="1" applyBorder="1" applyAlignment="1">
      <alignment horizontal="center" vertical="center" wrapText="1"/>
    </xf>
    <xf numFmtId="167" fontId="5" fillId="3" borderId="11" xfId="0" applyNumberFormat="1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3" fillId="14" borderId="0" xfId="0" applyFont="1" applyFill="1"/>
    <xf numFmtId="1" fontId="5" fillId="3" borderId="15" xfId="0" applyNumberFormat="1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left" vertical="center" wrapText="1"/>
    </xf>
    <xf numFmtId="1" fontId="5" fillId="3" borderId="11" xfId="0" applyNumberFormat="1" applyFont="1" applyFill="1" applyBorder="1" applyAlignment="1">
      <alignment horizontal="left" vertical="center" wrapText="1"/>
    </xf>
    <xf numFmtId="1" fontId="6" fillId="3" borderId="1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164" fontId="5" fillId="13" borderId="5" xfId="0" applyNumberFormat="1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165" fontId="3" fillId="14" borderId="11" xfId="0" applyNumberFormat="1" applyFont="1" applyFill="1" applyBorder="1"/>
    <xf numFmtId="0" fontId="5" fillId="8" borderId="10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168" fontId="5" fillId="3" borderId="11" xfId="0" applyNumberFormat="1" applyFont="1" applyFill="1" applyBorder="1" applyAlignment="1">
      <alignment horizontal="right" vertical="center" wrapText="1"/>
    </xf>
    <xf numFmtId="0" fontId="6" fillId="0" borderId="11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left" vertical="center" wrapText="1"/>
    </xf>
    <xf numFmtId="168" fontId="5" fillId="3" borderId="12" xfId="0" applyNumberFormat="1" applyFont="1" applyFill="1" applyBorder="1" applyAlignment="1">
      <alignment horizontal="right" vertical="center" wrapText="1"/>
    </xf>
    <xf numFmtId="0" fontId="6" fillId="0" borderId="11" xfId="0" applyFont="1" applyBorder="1" applyAlignment="1">
      <alignment horizontal="center" vertical="center" wrapText="1"/>
    </xf>
    <xf numFmtId="168" fontId="6" fillId="3" borderId="11" xfId="0" applyNumberFormat="1" applyFont="1" applyFill="1" applyBorder="1" applyAlignment="1">
      <alignment horizontal="right" vertical="center" wrapText="1"/>
    </xf>
    <xf numFmtId="168" fontId="6" fillId="3" borderId="12" xfId="0" applyNumberFormat="1" applyFont="1" applyFill="1" applyBorder="1" applyAlignment="1">
      <alignment horizontal="right" vertical="center" wrapText="1"/>
    </xf>
    <xf numFmtId="168" fontId="6" fillId="3" borderId="0" xfId="0" applyNumberFormat="1" applyFont="1" applyFill="1" applyAlignment="1">
      <alignment horizontal="right" vertical="center" wrapText="1"/>
    </xf>
    <xf numFmtId="165" fontId="3" fillId="3" borderId="0" xfId="0" applyNumberFormat="1" applyFont="1" applyFill="1"/>
    <xf numFmtId="0" fontId="6" fillId="3" borderId="0" xfId="0" applyFont="1" applyFill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68" fontId="5" fillId="3" borderId="16" xfId="0" applyNumberFormat="1" applyFont="1" applyFill="1" applyBorder="1" applyAlignment="1">
      <alignment horizontal="right" vertical="center" wrapText="1"/>
    </xf>
    <xf numFmtId="0" fontId="6" fillId="0" borderId="13" xfId="0" applyFont="1" applyBorder="1" applyAlignment="1">
      <alignment horizontal="center" vertical="center" wrapText="1"/>
    </xf>
    <xf numFmtId="168" fontId="6" fillId="3" borderId="13" xfId="0" applyNumberFormat="1" applyFont="1" applyFill="1" applyBorder="1" applyAlignment="1">
      <alignment horizontal="right" vertical="center" wrapText="1"/>
    </xf>
    <xf numFmtId="168" fontId="6" fillId="3" borderId="15" xfId="0" applyNumberFormat="1" applyFont="1" applyFill="1" applyBorder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0" fontId="10" fillId="3" borderId="20" xfId="0" applyFont="1" applyFill="1" applyBorder="1"/>
    <xf numFmtId="169" fontId="3" fillId="3" borderId="20" xfId="0" applyNumberFormat="1" applyFont="1" applyFill="1" applyBorder="1"/>
    <xf numFmtId="0" fontId="3" fillId="0" borderId="18" xfId="0" applyFont="1" applyBorder="1"/>
    <xf numFmtId="0" fontId="6" fillId="18" borderId="11" xfId="0" applyFont="1" applyFill="1" applyBorder="1" applyAlignment="1">
      <alignment horizontal="left" vertical="center" wrapText="1"/>
    </xf>
    <xf numFmtId="0" fontId="6" fillId="18" borderId="11" xfId="0" applyFont="1" applyFill="1" applyBorder="1" applyAlignment="1">
      <alignment horizontal="center" vertical="center" wrapText="1"/>
    </xf>
    <xf numFmtId="0" fontId="7" fillId="18" borderId="11" xfId="0" applyFont="1" applyFill="1" applyBorder="1" applyAlignment="1">
      <alignment horizontal="center" vertical="center" wrapText="1"/>
    </xf>
    <xf numFmtId="0" fontId="6" fillId="18" borderId="13" xfId="0" applyFont="1" applyFill="1" applyBorder="1" applyAlignment="1">
      <alignment horizontal="left" vertical="center" wrapText="1"/>
    </xf>
    <xf numFmtId="0" fontId="6" fillId="18" borderId="11" xfId="0" applyFont="1" applyFill="1" applyBorder="1" applyAlignment="1">
      <alignment horizontal="left" vertical="center"/>
    </xf>
    <xf numFmtId="0" fontId="6" fillId="18" borderId="11" xfId="0" applyFont="1" applyFill="1" applyBorder="1" applyAlignment="1">
      <alignment horizontal="center" vertical="center"/>
    </xf>
    <xf numFmtId="0" fontId="7" fillId="18" borderId="11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 wrapText="1"/>
    </xf>
    <xf numFmtId="1" fontId="5" fillId="18" borderId="11" xfId="0" applyNumberFormat="1" applyFont="1" applyFill="1" applyBorder="1" applyAlignment="1">
      <alignment horizontal="center" vertical="center" wrapText="1"/>
    </xf>
    <xf numFmtId="0" fontId="6" fillId="18" borderId="15" xfId="0" applyFont="1" applyFill="1" applyBorder="1" applyAlignment="1">
      <alignment horizontal="center" vertical="center" wrapText="1"/>
    </xf>
    <xf numFmtId="0" fontId="5" fillId="18" borderId="11" xfId="0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horizontal="center" vertical="center"/>
    </xf>
    <xf numFmtId="0" fontId="7" fillId="18" borderId="11" xfId="1" applyNumberFormat="1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left" vertical="center" wrapText="1"/>
    </xf>
    <xf numFmtId="0" fontId="5" fillId="18" borderId="13" xfId="0" applyFont="1" applyFill="1" applyBorder="1" applyAlignment="1">
      <alignment horizontal="center" vertical="center"/>
    </xf>
    <xf numFmtId="0" fontId="7" fillId="18" borderId="13" xfId="0" applyFont="1" applyFill="1" applyBorder="1" applyAlignment="1">
      <alignment horizontal="center" vertical="center" wrapText="1"/>
    </xf>
    <xf numFmtId="0" fontId="5" fillId="18" borderId="13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Yüzd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954592</xdr:colOff>
      <xdr:row>1</xdr:row>
      <xdr:rowOff>9211</xdr:rowOff>
    </xdr:from>
    <xdr:to>
      <xdr:col>6</xdr:col>
      <xdr:colOff>174352</xdr:colOff>
      <xdr:row>8</xdr:row>
      <xdr:rowOff>51707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FB87B64-B45A-45DE-89C3-326013FE3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0442" y="323536"/>
          <a:ext cx="1962960" cy="1375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zoomScale="200" zoomScaleNormal="200" workbookViewId="0">
      <selection sqref="A1:E1"/>
    </sheetView>
  </sheetViews>
  <sheetFormatPr baseColWidth="10" defaultColWidth="9.1640625" defaultRowHeight="13" x14ac:dyDescent="0.15"/>
  <cols>
    <col min="1" max="1" width="63.5" style="2" customWidth="1"/>
    <col min="2" max="2" width="29" style="2" customWidth="1"/>
    <col min="3" max="3" width="15.33203125" style="2" customWidth="1"/>
    <col min="4" max="4" width="22.83203125" style="2" customWidth="1"/>
    <col min="5" max="5" width="15.5" style="2" customWidth="1"/>
    <col min="6" max="6" width="25.5" style="2" customWidth="1"/>
    <col min="7" max="7" width="15.5" style="2" customWidth="1"/>
    <col min="8" max="8" width="15.1640625" style="2" customWidth="1"/>
    <col min="9" max="16384" width="9.1640625" style="2"/>
  </cols>
  <sheetData>
    <row r="1" spans="1:8" ht="25.25" customHeight="1" thickBot="1" x14ac:dyDescent="0.2">
      <c r="A1" s="118" t="s">
        <v>228</v>
      </c>
      <c r="B1" s="119"/>
      <c r="C1" s="119"/>
      <c r="D1" s="119"/>
      <c r="E1" s="120"/>
      <c r="F1" s="121"/>
      <c r="G1" s="1"/>
    </row>
    <row r="2" spans="1:8" ht="19.25" customHeight="1" thickBot="1" x14ac:dyDescent="0.2">
      <c r="A2" s="3" t="s">
        <v>0</v>
      </c>
      <c r="B2" s="124"/>
      <c r="C2" s="125"/>
      <c r="D2" s="125"/>
      <c r="E2" s="126"/>
      <c r="F2" s="122"/>
      <c r="G2" s="4"/>
    </row>
    <row r="3" spans="1:8" ht="19.25" customHeight="1" thickBot="1" x14ac:dyDescent="0.2">
      <c r="A3" s="3" t="s">
        <v>1</v>
      </c>
      <c r="B3" s="124"/>
      <c r="C3" s="125"/>
      <c r="D3" s="125"/>
      <c r="E3" s="126"/>
      <c r="F3" s="122"/>
      <c r="G3" s="5"/>
    </row>
    <row r="4" spans="1:8" ht="19.25" customHeight="1" thickBot="1" x14ac:dyDescent="0.2">
      <c r="A4" s="3" t="s">
        <v>2</v>
      </c>
      <c r="B4" s="127"/>
      <c r="C4" s="128"/>
      <c r="D4" s="128"/>
      <c r="E4" s="129"/>
      <c r="F4" s="122"/>
      <c r="G4" s="6"/>
    </row>
    <row r="5" spans="1:8" ht="19.25" customHeight="1" thickBot="1" x14ac:dyDescent="0.2">
      <c r="A5" s="3" t="s">
        <v>3</v>
      </c>
      <c r="B5" s="127"/>
      <c r="C5" s="128"/>
      <c r="D5" s="128"/>
      <c r="E5" s="129"/>
      <c r="F5" s="122"/>
      <c r="G5" s="6"/>
    </row>
    <row r="6" spans="1:8" ht="19.5" customHeight="1" thickBot="1" x14ac:dyDescent="0.2">
      <c r="A6" s="7" t="s">
        <v>4</v>
      </c>
      <c r="B6" s="8"/>
      <c r="C6" s="8" t="s">
        <v>5</v>
      </c>
      <c r="D6" s="127">
        <v>2500</v>
      </c>
      <c r="E6" s="129"/>
      <c r="F6" s="122"/>
      <c r="G6" s="9"/>
    </row>
    <row r="7" spans="1:8" ht="19.5" customHeight="1" thickBot="1" x14ac:dyDescent="0.2">
      <c r="A7" s="130" t="s">
        <v>6</v>
      </c>
      <c r="B7" s="10" t="s">
        <v>7</v>
      </c>
      <c r="C7" s="10" t="s">
        <v>8</v>
      </c>
      <c r="D7" s="10" t="s">
        <v>9</v>
      </c>
      <c r="E7" s="10" t="s">
        <v>8</v>
      </c>
      <c r="F7" s="122"/>
      <c r="G7" s="11"/>
    </row>
    <row r="8" spans="1:8" ht="19.5" customHeight="1" thickBot="1" x14ac:dyDescent="0.2">
      <c r="A8" s="131"/>
      <c r="B8" s="12" t="s">
        <v>227</v>
      </c>
      <c r="C8" s="13"/>
      <c r="D8" s="14"/>
      <c r="E8" s="15"/>
      <c r="F8" s="123"/>
      <c r="G8" s="16"/>
    </row>
    <row r="9" spans="1:8" ht="14" thickBot="1" x14ac:dyDescent="0.2">
      <c r="A9" s="132"/>
      <c r="B9" s="133"/>
      <c r="C9" s="133"/>
      <c r="D9" s="133"/>
      <c r="E9" s="133"/>
      <c r="F9" s="134"/>
    </row>
    <row r="10" spans="1:8" ht="35" thickBot="1" x14ac:dyDescent="0.2">
      <c r="A10" s="17" t="s">
        <v>10</v>
      </c>
      <c r="B10" s="18" t="s">
        <v>11</v>
      </c>
      <c r="C10" s="18" t="s">
        <v>12</v>
      </c>
      <c r="D10" s="18" t="s">
        <v>13</v>
      </c>
      <c r="E10" s="19" t="s">
        <v>14</v>
      </c>
      <c r="F10" s="20" t="s">
        <v>15</v>
      </c>
      <c r="G10" s="21" t="s">
        <v>16</v>
      </c>
      <c r="H10" s="22" t="s">
        <v>17</v>
      </c>
    </row>
    <row r="11" spans="1:8" ht="16.25" customHeight="1" x14ac:dyDescent="0.15">
      <c r="A11" s="96" t="s">
        <v>18</v>
      </c>
      <c r="B11" s="97" t="s">
        <v>19</v>
      </c>
      <c r="C11" s="98">
        <v>18</v>
      </c>
      <c r="D11" s="26"/>
      <c r="E11" s="27"/>
      <c r="F11" s="26"/>
      <c r="G11" s="28"/>
      <c r="H11" s="29"/>
    </row>
    <row r="12" spans="1:8" ht="18.5" customHeight="1" x14ac:dyDescent="0.15">
      <c r="A12" s="30"/>
      <c r="B12" s="26"/>
      <c r="C12" s="31"/>
      <c r="D12" s="26"/>
      <c r="E12" s="27"/>
      <c r="F12" s="26"/>
      <c r="G12" s="28"/>
      <c r="H12" s="29"/>
    </row>
    <row r="13" spans="1:8" ht="17" x14ac:dyDescent="0.15">
      <c r="A13" s="96" t="s">
        <v>20</v>
      </c>
      <c r="B13" s="97" t="s">
        <v>19</v>
      </c>
      <c r="C13" s="98">
        <v>1</v>
      </c>
      <c r="D13" s="26"/>
      <c r="E13" s="27"/>
      <c r="F13" s="26"/>
      <c r="G13" s="28"/>
      <c r="H13" s="29"/>
    </row>
    <row r="14" spans="1:8" ht="18.5" customHeight="1" x14ac:dyDescent="0.15">
      <c r="A14" s="30"/>
      <c r="B14" s="26"/>
      <c r="C14" s="31"/>
      <c r="E14" s="27"/>
      <c r="F14" s="26"/>
      <c r="G14" s="28"/>
      <c r="H14" s="29"/>
    </row>
    <row r="15" spans="1:8" ht="18.5" customHeight="1" x14ac:dyDescent="0.15">
      <c r="A15" s="99" t="s">
        <v>21</v>
      </c>
      <c r="B15" s="97" t="s">
        <v>22</v>
      </c>
      <c r="C15" s="98">
        <v>7</v>
      </c>
      <c r="D15" s="26"/>
      <c r="E15" s="27"/>
      <c r="F15" s="26"/>
      <c r="G15" s="28"/>
      <c r="H15" s="29"/>
    </row>
    <row r="16" spans="1:8" ht="18.5" customHeight="1" x14ac:dyDescent="0.15">
      <c r="A16" s="30"/>
      <c r="B16" s="26"/>
      <c r="C16" s="31"/>
      <c r="D16" s="26"/>
      <c r="E16" s="27"/>
      <c r="F16" s="26"/>
      <c r="G16" s="28"/>
      <c r="H16" s="29"/>
    </row>
    <row r="17" spans="1:8" ht="18.5" customHeight="1" x14ac:dyDescent="0.15">
      <c r="A17" s="96" t="s">
        <v>23</v>
      </c>
      <c r="B17" s="97" t="s">
        <v>24</v>
      </c>
      <c r="C17" s="98">
        <v>2</v>
      </c>
      <c r="D17" s="26"/>
      <c r="E17" s="27"/>
      <c r="F17" s="26"/>
      <c r="G17" s="28"/>
      <c r="H17" s="29"/>
    </row>
    <row r="18" spans="1:8" ht="21.5" customHeight="1" x14ac:dyDescent="0.15">
      <c r="A18" s="23"/>
      <c r="B18" s="24"/>
      <c r="C18" s="25"/>
      <c r="D18" s="26"/>
      <c r="E18" s="33"/>
      <c r="F18" s="26"/>
      <c r="G18" s="34"/>
      <c r="H18" s="29"/>
    </row>
    <row r="19" spans="1:8" ht="17" x14ac:dyDescent="0.15">
      <c r="A19" s="96" t="s">
        <v>25</v>
      </c>
      <c r="B19" s="97" t="s">
        <v>26</v>
      </c>
      <c r="C19" s="98">
        <v>2</v>
      </c>
      <c r="D19" s="26"/>
      <c r="E19" s="33"/>
      <c r="F19" s="26"/>
      <c r="G19" s="34"/>
      <c r="H19" s="29"/>
    </row>
    <row r="20" spans="1:8" ht="16" x14ac:dyDescent="0.15">
      <c r="A20" s="23"/>
      <c r="B20" s="24"/>
      <c r="C20" s="25"/>
      <c r="D20" s="26"/>
      <c r="E20" s="33"/>
      <c r="F20" s="26"/>
      <c r="G20" s="34"/>
      <c r="H20" s="29"/>
    </row>
    <row r="21" spans="1:8" ht="15.75" customHeight="1" x14ac:dyDescent="0.15">
      <c r="A21" s="100" t="s">
        <v>216</v>
      </c>
      <c r="B21" s="101" t="s">
        <v>217</v>
      </c>
      <c r="C21" s="102">
        <v>2</v>
      </c>
      <c r="D21" s="26"/>
      <c r="E21" s="33"/>
      <c r="F21" s="26"/>
      <c r="G21" s="34"/>
      <c r="H21" s="29"/>
    </row>
    <row r="22" spans="1:8" ht="15.75" customHeight="1" x14ac:dyDescent="0.15">
      <c r="A22" s="100" t="s">
        <v>27</v>
      </c>
      <c r="B22" s="101" t="s">
        <v>28</v>
      </c>
      <c r="C22" s="102">
        <v>2</v>
      </c>
      <c r="D22" s="26"/>
      <c r="E22" s="33"/>
      <c r="F22" s="26"/>
      <c r="G22" s="34"/>
      <c r="H22" s="29"/>
    </row>
    <row r="23" spans="1:8" ht="16" x14ac:dyDescent="0.15">
      <c r="A23" s="100" t="s">
        <v>29</v>
      </c>
      <c r="B23" s="101" t="s">
        <v>30</v>
      </c>
      <c r="C23" s="102">
        <v>1</v>
      </c>
      <c r="D23" s="26"/>
      <c r="E23" s="33"/>
      <c r="F23" s="26"/>
      <c r="G23" s="34"/>
      <c r="H23" s="29"/>
    </row>
    <row r="24" spans="1:8" ht="16" x14ac:dyDescent="0.15">
      <c r="A24" s="35"/>
      <c r="B24" s="36"/>
      <c r="C24" s="37"/>
      <c r="D24" s="26"/>
      <c r="E24" s="33"/>
      <c r="F24" s="26"/>
      <c r="G24" s="34"/>
      <c r="H24" s="29"/>
    </row>
    <row r="25" spans="1:8" ht="17" x14ac:dyDescent="0.15">
      <c r="A25" s="96" t="s">
        <v>31</v>
      </c>
      <c r="B25" s="97" t="s">
        <v>19</v>
      </c>
      <c r="C25" s="98">
        <v>1</v>
      </c>
      <c r="D25" s="26"/>
      <c r="E25" s="27"/>
      <c r="F25" s="26"/>
      <c r="G25" s="34"/>
      <c r="H25" s="29"/>
    </row>
    <row r="26" spans="1:8" ht="16" x14ac:dyDescent="0.15">
      <c r="A26" s="30"/>
      <c r="B26" s="26"/>
      <c r="C26" s="26"/>
      <c r="D26" s="26"/>
      <c r="E26" s="33"/>
      <c r="F26" s="26"/>
      <c r="G26" s="34"/>
      <c r="H26" s="29"/>
    </row>
    <row r="27" spans="1:8" ht="18" thickBot="1" x14ac:dyDescent="0.2">
      <c r="A27" s="99" t="s">
        <v>32</v>
      </c>
      <c r="B27" s="97" t="s">
        <v>22</v>
      </c>
      <c r="C27" s="98">
        <v>3</v>
      </c>
      <c r="D27" s="38"/>
      <c r="E27" s="39"/>
      <c r="F27" s="26"/>
      <c r="G27" s="34"/>
      <c r="H27" s="29"/>
    </row>
    <row r="28" spans="1:8" ht="18" thickBot="1" x14ac:dyDescent="0.2">
      <c r="A28" s="114" t="s">
        <v>33</v>
      </c>
      <c r="B28" s="115"/>
      <c r="C28" s="116" t="s">
        <v>34</v>
      </c>
      <c r="D28" s="117"/>
      <c r="E28" s="41" t="s">
        <v>35</v>
      </c>
      <c r="F28" s="42"/>
      <c r="G28" s="34"/>
      <c r="H28" s="29"/>
    </row>
    <row r="29" spans="1:8" ht="35" thickBot="1" x14ac:dyDescent="0.2">
      <c r="A29" s="43" t="s">
        <v>36</v>
      </c>
      <c r="B29" s="20" t="s">
        <v>37</v>
      </c>
      <c r="C29" s="20" t="s">
        <v>12</v>
      </c>
      <c r="D29" s="20" t="s">
        <v>38</v>
      </c>
      <c r="E29" s="44"/>
      <c r="F29" s="20" t="s">
        <v>15</v>
      </c>
      <c r="G29" s="45"/>
      <c r="H29" s="29"/>
    </row>
    <row r="30" spans="1:8" ht="17" x14ac:dyDescent="0.15">
      <c r="A30" s="96" t="s">
        <v>39</v>
      </c>
      <c r="B30" s="97" t="s">
        <v>40</v>
      </c>
      <c r="C30" s="98">
        <v>6</v>
      </c>
      <c r="D30" s="46"/>
      <c r="E30" s="47"/>
      <c r="F30" s="46"/>
      <c r="G30" s="46"/>
      <c r="H30" s="48">
        <f>G30*C30</f>
        <v>0</v>
      </c>
    </row>
    <row r="31" spans="1:8" ht="17" x14ac:dyDescent="0.15">
      <c r="A31" s="96" t="s">
        <v>39</v>
      </c>
      <c r="B31" s="97" t="s">
        <v>41</v>
      </c>
      <c r="C31" s="98">
        <v>2</v>
      </c>
      <c r="D31" s="26"/>
      <c r="E31" s="49"/>
      <c r="F31" s="26"/>
      <c r="G31" s="26"/>
      <c r="H31" s="48">
        <f t="shared" ref="H31:H115" si="0">G31*C31</f>
        <v>0</v>
      </c>
    </row>
    <row r="32" spans="1:8" ht="16" x14ac:dyDescent="0.15">
      <c r="A32" s="50"/>
      <c r="B32" s="51"/>
      <c r="C32" s="46"/>
      <c r="D32" s="46"/>
      <c r="E32" s="47"/>
      <c r="F32" s="46"/>
      <c r="G32" s="26"/>
      <c r="H32" s="48">
        <f t="shared" si="0"/>
        <v>0</v>
      </c>
    </row>
    <row r="33" spans="1:8" ht="17" x14ac:dyDescent="0.15">
      <c r="A33" s="96" t="s">
        <v>42</v>
      </c>
      <c r="B33" s="97" t="s">
        <v>43</v>
      </c>
      <c r="C33" s="103">
        <v>5</v>
      </c>
      <c r="D33" s="52"/>
      <c r="E33" s="47"/>
      <c r="F33" s="46"/>
      <c r="G33" s="46"/>
      <c r="H33" s="48">
        <f t="shared" si="0"/>
        <v>0</v>
      </c>
    </row>
    <row r="34" spans="1:8" ht="16" x14ac:dyDescent="0.15">
      <c r="A34" s="30"/>
      <c r="B34" s="26"/>
      <c r="C34" s="46"/>
      <c r="D34" s="52"/>
      <c r="E34" s="47"/>
      <c r="F34" s="46"/>
      <c r="G34" s="46"/>
      <c r="H34" s="48"/>
    </row>
    <row r="35" spans="1:8" ht="17" x14ac:dyDescent="0.15">
      <c r="A35" s="96" t="s">
        <v>44</v>
      </c>
      <c r="B35" s="97" t="s">
        <v>45</v>
      </c>
      <c r="C35" s="104">
        <v>2</v>
      </c>
      <c r="D35" s="52"/>
      <c r="E35" s="47"/>
      <c r="F35" s="46"/>
      <c r="G35" s="46"/>
      <c r="H35" s="48"/>
    </row>
    <row r="36" spans="1:8" ht="21.5" customHeight="1" x14ac:dyDescent="0.15">
      <c r="A36" s="96" t="s">
        <v>47</v>
      </c>
      <c r="B36" s="97" t="s">
        <v>12</v>
      </c>
      <c r="C36" s="103">
        <v>4</v>
      </c>
      <c r="D36" s="46"/>
      <c r="E36" s="47"/>
      <c r="F36" s="46"/>
      <c r="G36" s="46"/>
      <c r="H36" s="48"/>
    </row>
    <row r="37" spans="1:8" ht="16" x14ac:dyDescent="0.15">
      <c r="A37" s="23"/>
      <c r="B37" s="53"/>
      <c r="C37" s="31"/>
      <c r="D37" s="46"/>
      <c r="E37" s="47"/>
      <c r="F37" s="46"/>
      <c r="G37" s="46"/>
      <c r="H37" s="48"/>
    </row>
    <row r="38" spans="1:8" ht="17" x14ac:dyDescent="0.15">
      <c r="A38" s="96" t="s">
        <v>48</v>
      </c>
      <c r="B38" s="105" t="s">
        <v>46</v>
      </c>
      <c r="C38" s="98">
        <v>18</v>
      </c>
      <c r="D38" s="46"/>
      <c r="E38" s="47"/>
      <c r="F38" s="46"/>
      <c r="G38" s="46"/>
      <c r="H38" s="48"/>
    </row>
    <row r="39" spans="1:8" ht="17" x14ac:dyDescent="0.15">
      <c r="A39" s="96" t="s">
        <v>49</v>
      </c>
      <c r="B39" s="105" t="s">
        <v>50</v>
      </c>
      <c r="C39" s="98">
        <v>7</v>
      </c>
      <c r="D39" s="46"/>
      <c r="E39" s="47"/>
      <c r="F39" s="46"/>
      <c r="G39" s="46"/>
      <c r="H39" s="48"/>
    </row>
    <row r="40" spans="1:8" ht="16" x14ac:dyDescent="0.15">
      <c r="A40" s="23"/>
      <c r="B40" s="24"/>
      <c r="C40" s="25"/>
      <c r="D40" s="46"/>
      <c r="E40" s="47"/>
      <c r="F40" s="46"/>
      <c r="G40" s="46"/>
      <c r="H40" s="48"/>
    </row>
    <row r="41" spans="1:8" ht="17" x14ac:dyDescent="0.15">
      <c r="A41" s="96" t="s">
        <v>51</v>
      </c>
      <c r="B41" s="101" t="s">
        <v>52</v>
      </c>
      <c r="C41" s="98">
        <v>8</v>
      </c>
      <c r="D41" s="46"/>
      <c r="E41" s="47"/>
      <c r="F41" s="46"/>
      <c r="G41" s="46"/>
      <c r="H41" s="48"/>
    </row>
    <row r="42" spans="1:8" ht="16" x14ac:dyDescent="0.15">
      <c r="A42" s="23"/>
      <c r="B42" s="24"/>
      <c r="C42" s="25"/>
      <c r="D42" s="46"/>
      <c r="E42" s="47"/>
      <c r="F42" s="46"/>
      <c r="G42" s="46"/>
      <c r="H42" s="48"/>
    </row>
    <row r="43" spans="1:8" ht="17" x14ac:dyDescent="0.15">
      <c r="A43" s="96" t="s">
        <v>53</v>
      </c>
      <c r="B43" s="105" t="s">
        <v>54</v>
      </c>
      <c r="C43" s="98">
        <v>2</v>
      </c>
      <c r="D43" s="46"/>
      <c r="E43" s="47"/>
      <c r="F43" s="46"/>
      <c r="G43" s="46"/>
      <c r="H43" s="48"/>
    </row>
    <row r="44" spans="1:8" ht="17" x14ac:dyDescent="0.15">
      <c r="A44" s="96" t="s">
        <v>55</v>
      </c>
      <c r="B44" s="105" t="s">
        <v>56</v>
      </c>
      <c r="C44" s="98">
        <v>4</v>
      </c>
      <c r="D44" s="46"/>
      <c r="E44" s="47"/>
      <c r="F44" s="46"/>
      <c r="G44" s="46"/>
      <c r="H44" s="48"/>
    </row>
    <row r="45" spans="1:8" ht="16" x14ac:dyDescent="0.15">
      <c r="A45" s="23"/>
      <c r="B45" s="24"/>
      <c r="C45" s="25"/>
      <c r="D45" s="46"/>
      <c r="E45" s="47"/>
      <c r="F45" s="46"/>
      <c r="G45" s="46"/>
      <c r="H45" s="48"/>
    </row>
    <row r="46" spans="1:8" ht="17" x14ac:dyDescent="0.15">
      <c r="A46" s="96" t="s">
        <v>57</v>
      </c>
      <c r="B46" s="101" t="s">
        <v>58</v>
      </c>
      <c r="C46" s="98">
        <v>5</v>
      </c>
      <c r="D46" s="46"/>
      <c r="E46" s="47"/>
      <c r="F46" s="46"/>
      <c r="G46" s="46"/>
      <c r="H46" s="48"/>
    </row>
    <row r="47" spans="1:8" ht="17" x14ac:dyDescent="0.15">
      <c r="A47" s="96" t="s">
        <v>59</v>
      </c>
      <c r="B47" s="97" t="s">
        <v>43</v>
      </c>
      <c r="C47" s="98">
        <v>4</v>
      </c>
      <c r="D47" s="46"/>
      <c r="E47" s="47"/>
      <c r="F47" s="46"/>
      <c r="G47" s="46"/>
      <c r="H47" s="48"/>
    </row>
    <row r="48" spans="1:8" ht="16" x14ac:dyDescent="0.15">
      <c r="A48" s="23"/>
      <c r="B48" s="24"/>
      <c r="C48" s="25"/>
      <c r="D48" s="46"/>
      <c r="E48" s="47"/>
      <c r="F48" s="46"/>
      <c r="G48" s="46"/>
      <c r="H48" s="48"/>
    </row>
    <row r="49" spans="1:8" ht="17" x14ac:dyDescent="0.15">
      <c r="A49" s="99" t="s">
        <v>60</v>
      </c>
      <c r="B49" s="101" t="s">
        <v>79</v>
      </c>
      <c r="C49" s="98">
        <v>20</v>
      </c>
      <c r="D49" s="46"/>
      <c r="E49" s="47"/>
      <c r="F49" s="46"/>
      <c r="G49" s="46"/>
      <c r="H49" s="48"/>
    </row>
    <row r="50" spans="1:8" s="54" customFormat="1" ht="21.5" customHeight="1" x14ac:dyDescent="0.15">
      <c r="A50" s="99" t="s">
        <v>61</v>
      </c>
      <c r="B50" s="101" t="s">
        <v>62</v>
      </c>
      <c r="C50" s="98">
        <v>2</v>
      </c>
      <c r="D50" s="46"/>
      <c r="E50" s="47"/>
      <c r="F50" s="46"/>
      <c r="G50" s="46"/>
      <c r="H50" s="48"/>
    </row>
    <row r="51" spans="1:8" ht="16" x14ac:dyDescent="0.15">
      <c r="A51" s="23"/>
      <c r="B51" s="24"/>
      <c r="C51" s="25"/>
      <c r="D51" s="46"/>
      <c r="E51" s="47"/>
      <c r="F51" s="46"/>
      <c r="G51" s="46"/>
      <c r="H51" s="48"/>
    </row>
    <row r="52" spans="1:8" ht="20.5" customHeight="1" x14ac:dyDescent="0.15">
      <c r="A52" s="96" t="s">
        <v>63</v>
      </c>
      <c r="B52" s="101" t="s">
        <v>62</v>
      </c>
      <c r="C52" s="98">
        <v>8</v>
      </c>
      <c r="D52" s="52"/>
      <c r="E52" s="47"/>
      <c r="F52" s="46"/>
      <c r="G52" s="46"/>
      <c r="H52" s="48"/>
    </row>
    <row r="53" spans="1:8" ht="20.5" customHeight="1" x14ac:dyDescent="0.15">
      <c r="A53" s="96" t="s">
        <v>64</v>
      </c>
      <c r="B53" s="101" t="s">
        <v>65</v>
      </c>
      <c r="C53" s="98">
        <v>5</v>
      </c>
      <c r="D53" s="52"/>
      <c r="E53" s="47"/>
      <c r="F53" s="46"/>
      <c r="G53" s="46"/>
      <c r="H53" s="48"/>
    </row>
    <row r="54" spans="1:8" ht="20.5" customHeight="1" x14ac:dyDescent="0.15">
      <c r="A54" s="23" t="s">
        <v>66</v>
      </c>
      <c r="B54" s="36" t="s">
        <v>65</v>
      </c>
      <c r="C54" s="25"/>
      <c r="D54" s="52"/>
      <c r="E54" s="47"/>
      <c r="F54" s="46"/>
      <c r="G54" s="46"/>
      <c r="H54" s="48"/>
    </row>
    <row r="55" spans="1:8" ht="20.5" customHeight="1" x14ac:dyDescent="0.15">
      <c r="A55" s="96" t="s">
        <v>67</v>
      </c>
      <c r="B55" s="101" t="s">
        <v>68</v>
      </c>
      <c r="C55" s="98">
        <v>5</v>
      </c>
      <c r="D55" s="52"/>
      <c r="E55" s="47"/>
      <c r="F55" s="46"/>
      <c r="G55" s="46"/>
      <c r="H55" s="48"/>
    </row>
    <row r="56" spans="1:8" ht="16.25" customHeight="1" x14ac:dyDescent="0.15">
      <c r="A56" s="23"/>
      <c r="B56" s="36"/>
      <c r="C56" s="25"/>
      <c r="D56" s="46"/>
      <c r="E56" s="47"/>
      <c r="F56" s="46"/>
      <c r="G56" s="46"/>
      <c r="H56" s="48"/>
    </row>
    <row r="57" spans="1:8" ht="17" x14ac:dyDescent="0.15">
      <c r="A57" s="96" t="s">
        <v>69</v>
      </c>
      <c r="B57" s="103" t="s">
        <v>43</v>
      </c>
      <c r="C57" s="103">
        <v>9</v>
      </c>
      <c r="D57" s="46"/>
      <c r="E57" s="47"/>
      <c r="F57" s="46"/>
      <c r="G57" s="46"/>
      <c r="H57" s="48"/>
    </row>
    <row r="58" spans="1:8" ht="17" x14ac:dyDescent="0.15">
      <c r="A58" s="96" t="s">
        <v>70</v>
      </c>
      <c r="B58" s="101" t="s">
        <v>65</v>
      </c>
      <c r="C58" s="98">
        <v>10</v>
      </c>
      <c r="D58" s="46"/>
      <c r="E58" s="47"/>
      <c r="F58" s="46"/>
      <c r="G58" s="46"/>
      <c r="H58" s="48"/>
    </row>
    <row r="59" spans="1:8" ht="17" x14ac:dyDescent="0.15">
      <c r="A59" s="96" t="s">
        <v>71</v>
      </c>
      <c r="B59" s="103" t="s">
        <v>72</v>
      </c>
      <c r="C59" s="103">
        <v>10</v>
      </c>
      <c r="D59" s="46"/>
      <c r="E59" s="47"/>
      <c r="F59" s="46"/>
      <c r="G59" s="46"/>
      <c r="H59" s="48"/>
    </row>
    <row r="60" spans="1:8" ht="21.5" customHeight="1" x14ac:dyDescent="0.15">
      <c r="A60" s="96" t="s">
        <v>73</v>
      </c>
      <c r="B60" s="103" t="s">
        <v>12</v>
      </c>
      <c r="C60" s="103">
        <v>4</v>
      </c>
      <c r="D60" s="46"/>
      <c r="E60" s="47"/>
      <c r="F60" s="46"/>
      <c r="G60" s="46"/>
      <c r="H60" s="48"/>
    </row>
    <row r="61" spans="1:8" ht="17" x14ac:dyDescent="0.15">
      <c r="A61" s="96" t="s">
        <v>74</v>
      </c>
      <c r="B61" s="103" t="s">
        <v>75</v>
      </c>
      <c r="C61" s="98">
        <v>6</v>
      </c>
      <c r="D61" s="46"/>
      <c r="E61" s="47"/>
      <c r="F61" s="46"/>
      <c r="G61" s="46"/>
      <c r="H61" s="48"/>
    </row>
    <row r="62" spans="1:8" ht="16" x14ac:dyDescent="0.15">
      <c r="A62" s="23"/>
      <c r="B62" s="36"/>
      <c r="C62" s="25"/>
      <c r="D62" s="46"/>
      <c r="E62" s="47"/>
      <c r="F62" s="46"/>
      <c r="G62" s="46"/>
      <c r="H62" s="48"/>
    </row>
    <row r="63" spans="1:8" ht="17" x14ac:dyDescent="0.15">
      <c r="A63" s="96" t="s">
        <v>76</v>
      </c>
      <c r="B63" s="101" t="s">
        <v>77</v>
      </c>
      <c r="C63" s="98">
        <v>6</v>
      </c>
      <c r="D63" s="46"/>
      <c r="E63" s="47"/>
      <c r="F63" s="46"/>
      <c r="G63" s="46"/>
      <c r="H63" s="48"/>
    </row>
    <row r="64" spans="1:8" ht="18" customHeight="1" thickBot="1" x14ac:dyDescent="0.2">
      <c r="A64" s="96" t="s">
        <v>78</v>
      </c>
      <c r="B64" s="101" t="s">
        <v>79</v>
      </c>
      <c r="C64" s="98">
        <v>5</v>
      </c>
      <c r="D64" s="46"/>
      <c r="E64" s="47"/>
      <c r="F64" s="46"/>
      <c r="G64" s="46"/>
      <c r="H64" s="48"/>
    </row>
    <row r="65" spans="1:8" ht="18" thickBot="1" x14ac:dyDescent="0.2">
      <c r="A65" s="114" t="s">
        <v>33</v>
      </c>
      <c r="B65" s="115"/>
      <c r="C65" s="116" t="s">
        <v>80</v>
      </c>
      <c r="D65" s="117"/>
      <c r="E65" s="41" t="s">
        <v>35</v>
      </c>
      <c r="F65" s="42"/>
      <c r="G65" s="55"/>
      <c r="H65" s="48"/>
    </row>
    <row r="66" spans="1:8" ht="30" customHeight="1" thickBot="1" x14ac:dyDescent="0.2">
      <c r="A66" s="43" t="s">
        <v>81</v>
      </c>
      <c r="B66" s="20" t="s">
        <v>11</v>
      </c>
      <c r="C66" s="20" t="s">
        <v>12</v>
      </c>
      <c r="D66" s="20" t="s">
        <v>82</v>
      </c>
      <c r="E66" s="44" t="s">
        <v>83</v>
      </c>
      <c r="F66" s="20" t="s">
        <v>15</v>
      </c>
      <c r="G66" s="46"/>
      <c r="H66" s="48"/>
    </row>
    <row r="67" spans="1:8" ht="21" customHeight="1" x14ac:dyDescent="0.15">
      <c r="A67" s="96" t="s">
        <v>84</v>
      </c>
      <c r="B67" s="100" t="s">
        <v>218</v>
      </c>
      <c r="C67" s="106">
        <v>50</v>
      </c>
      <c r="D67" s="30"/>
      <c r="E67" s="56"/>
      <c r="F67" s="57"/>
      <c r="G67" s="46"/>
      <c r="H67" s="48"/>
    </row>
    <row r="68" spans="1:8" ht="17" x14ac:dyDescent="0.15">
      <c r="A68" s="96" t="s">
        <v>219</v>
      </c>
      <c r="B68" s="100">
        <v>400</v>
      </c>
      <c r="C68" s="106"/>
      <c r="D68" s="30"/>
      <c r="E68" s="56"/>
      <c r="F68" s="57"/>
      <c r="G68" s="46"/>
      <c r="H68" s="48"/>
    </row>
    <row r="69" spans="1:8" ht="21.5" customHeight="1" x14ac:dyDescent="0.15">
      <c r="A69" s="23" t="s">
        <v>85</v>
      </c>
      <c r="B69" s="35" t="s">
        <v>86</v>
      </c>
      <c r="C69" s="30"/>
      <c r="D69" s="30"/>
      <c r="E69" s="57"/>
      <c r="F69" s="57"/>
      <c r="G69" s="46"/>
      <c r="H69" s="48"/>
    </row>
    <row r="70" spans="1:8" ht="21.5" customHeight="1" x14ac:dyDescent="0.15">
      <c r="A70" s="23" t="s">
        <v>87</v>
      </c>
      <c r="B70" s="35" t="s">
        <v>86</v>
      </c>
      <c r="C70" s="30"/>
      <c r="D70" s="30"/>
      <c r="E70" s="57"/>
      <c r="F70" s="57"/>
      <c r="G70" s="55"/>
      <c r="H70" s="48"/>
    </row>
    <row r="71" spans="1:8" ht="21.5" customHeight="1" thickBot="1" x14ac:dyDescent="0.2">
      <c r="A71" s="23" t="s">
        <v>88</v>
      </c>
      <c r="B71" s="35" t="s">
        <v>86</v>
      </c>
      <c r="C71" s="30"/>
      <c r="D71" s="30"/>
      <c r="E71" s="57"/>
      <c r="F71" s="57"/>
      <c r="G71" s="55"/>
      <c r="H71" s="48"/>
    </row>
    <row r="72" spans="1:8" ht="18" thickBot="1" x14ac:dyDescent="0.2">
      <c r="A72" s="114" t="s">
        <v>33</v>
      </c>
      <c r="B72" s="115"/>
      <c r="C72" s="116" t="s">
        <v>80</v>
      </c>
      <c r="D72" s="117"/>
      <c r="E72" s="41" t="s">
        <v>35</v>
      </c>
      <c r="F72" s="42"/>
      <c r="G72" s="55"/>
      <c r="H72" s="48"/>
    </row>
    <row r="73" spans="1:8" ht="15.75" customHeight="1" thickBot="1" x14ac:dyDescent="0.2">
      <c r="A73" s="43" t="s">
        <v>89</v>
      </c>
      <c r="B73" s="20" t="s">
        <v>11</v>
      </c>
      <c r="C73" s="20" t="s">
        <v>12</v>
      </c>
      <c r="D73" s="20" t="s">
        <v>82</v>
      </c>
      <c r="E73" s="44" t="s">
        <v>83</v>
      </c>
      <c r="F73" s="20" t="s">
        <v>15</v>
      </c>
      <c r="G73" s="45"/>
      <c r="H73" s="48"/>
    </row>
    <row r="74" spans="1:8" ht="15.75" customHeight="1" x14ac:dyDescent="0.15">
      <c r="A74" s="23"/>
      <c r="B74" s="58"/>
      <c r="C74" s="26"/>
      <c r="D74" s="26"/>
      <c r="E74" s="26"/>
      <c r="F74" s="26"/>
      <c r="G74" s="26"/>
      <c r="H74" s="48"/>
    </row>
    <row r="75" spans="1:8" ht="15.75" customHeight="1" x14ac:dyDescent="0.15">
      <c r="A75" s="106" t="s">
        <v>220</v>
      </c>
      <c r="B75" s="103" t="s">
        <v>221</v>
      </c>
      <c r="C75" s="103">
        <v>17</v>
      </c>
      <c r="D75" s="26"/>
      <c r="E75" s="26"/>
      <c r="F75" s="26"/>
      <c r="G75" s="26"/>
      <c r="H75" s="48"/>
    </row>
    <row r="76" spans="1:8" ht="15.75" customHeight="1" x14ac:dyDescent="0.15">
      <c r="A76" s="106"/>
      <c r="B76" s="103" t="s">
        <v>222</v>
      </c>
      <c r="C76" s="103">
        <v>4</v>
      </c>
      <c r="D76" s="26"/>
      <c r="E76" s="26"/>
      <c r="F76" s="26"/>
      <c r="G76" s="26"/>
      <c r="H76" s="48"/>
    </row>
    <row r="77" spans="1:8" ht="15.75" customHeight="1" x14ac:dyDescent="0.15">
      <c r="A77" s="106" t="s">
        <v>91</v>
      </c>
      <c r="B77" s="103" t="s">
        <v>92</v>
      </c>
      <c r="C77" s="103">
        <v>11</v>
      </c>
      <c r="D77" s="26"/>
      <c r="E77" s="26"/>
      <c r="F77" s="26"/>
      <c r="G77" s="26"/>
      <c r="H77" s="48"/>
    </row>
    <row r="78" spans="1:8" ht="15.75" customHeight="1" x14ac:dyDescent="0.15">
      <c r="A78" s="30"/>
      <c r="B78" s="26"/>
      <c r="C78" s="26"/>
      <c r="D78" s="26"/>
      <c r="E78" s="26"/>
      <c r="F78" s="26"/>
      <c r="G78" s="26"/>
      <c r="H78" s="48"/>
    </row>
    <row r="79" spans="1:8" ht="15.75" customHeight="1" x14ac:dyDescent="0.15">
      <c r="A79" s="30"/>
      <c r="B79" s="26"/>
      <c r="C79" s="26"/>
      <c r="D79" s="26"/>
      <c r="E79" s="26"/>
      <c r="F79" s="26"/>
      <c r="G79" s="26"/>
      <c r="H79" s="48"/>
    </row>
    <row r="80" spans="1:8" ht="15.75" customHeight="1" x14ac:dyDescent="0.15">
      <c r="A80" s="23"/>
      <c r="B80" s="58"/>
      <c r="C80" s="31"/>
      <c r="D80" s="31"/>
      <c r="E80" s="26"/>
      <c r="F80" s="26"/>
      <c r="G80" s="26"/>
      <c r="H80" s="48"/>
    </row>
    <row r="81" spans="1:8" ht="15.75" customHeight="1" x14ac:dyDescent="0.15">
      <c r="A81" s="106" t="s">
        <v>94</v>
      </c>
      <c r="B81" s="103" t="s">
        <v>90</v>
      </c>
      <c r="C81" s="103">
        <v>1</v>
      </c>
      <c r="D81" s="31"/>
      <c r="E81" s="26"/>
      <c r="F81" s="26"/>
      <c r="G81" s="26"/>
      <c r="H81" s="48"/>
    </row>
    <row r="82" spans="1:8" ht="15.75" customHeight="1" x14ac:dyDescent="0.15">
      <c r="A82" s="106" t="s">
        <v>95</v>
      </c>
      <c r="B82" s="103" t="s">
        <v>96</v>
      </c>
      <c r="C82" s="103">
        <v>1</v>
      </c>
      <c r="D82" s="31"/>
      <c r="E82" s="26"/>
      <c r="F82" s="26"/>
      <c r="G82" s="26"/>
      <c r="H82" s="48"/>
    </row>
    <row r="83" spans="1:8" ht="15.75" customHeight="1" x14ac:dyDescent="0.15">
      <c r="A83" s="23"/>
      <c r="B83" s="58"/>
      <c r="C83" s="31"/>
      <c r="D83" s="31"/>
      <c r="E83" s="26"/>
      <c r="F83" s="26"/>
      <c r="G83" s="26"/>
      <c r="H83" s="48"/>
    </row>
    <row r="84" spans="1:8" ht="15.75" customHeight="1" x14ac:dyDescent="0.15">
      <c r="A84" s="106" t="s">
        <v>97</v>
      </c>
      <c r="B84" s="103" t="s">
        <v>72</v>
      </c>
      <c r="C84" s="103">
        <v>2</v>
      </c>
      <c r="D84" s="31"/>
      <c r="E84" s="26"/>
      <c r="F84" s="26"/>
      <c r="G84" s="26"/>
      <c r="H84" s="48"/>
    </row>
    <row r="85" spans="1:8" ht="15.75" customHeight="1" x14ac:dyDescent="0.15">
      <c r="A85" s="106" t="s">
        <v>98</v>
      </c>
      <c r="B85" s="103" t="s">
        <v>72</v>
      </c>
      <c r="C85" s="103">
        <v>2</v>
      </c>
      <c r="D85" s="31"/>
      <c r="E85" s="26"/>
      <c r="F85" s="26"/>
      <c r="G85" s="26"/>
      <c r="H85" s="48"/>
    </row>
    <row r="86" spans="1:8" ht="15.75" customHeight="1" x14ac:dyDescent="0.15">
      <c r="A86" s="59"/>
      <c r="B86" s="26"/>
      <c r="C86" s="31"/>
      <c r="D86" s="31"/>
      <c r="E86" s="26"/>
      <c r="F86" s="26"/>
      <c r="G86" s="26"/>
      <c r="H86" s="48"/>
    </row>
    <row r="87" spans="1:8" ht="15.75" customHeight="1" x14ac:dyDescent="0.15">
      <c r="A87" s="30" t="s">
        <v>99</v>
      </c>
      <c r="B87" s="26" t="s">
        <v>100</v>
      </c>
      <c r="C87" s="31"/>
      <c r="D87" s="31"/>
      <c r="E87" s="26"/>
      <c r="F87" s="26"/>
      <c r="G87" s="26"/>
      <c r="H87" s="48"/>
    </row>
    <row r="88" spans="1:8" ht="15.75" customHeight="1" thickBot="1" x14ac:dyDescent="0.2">
      <c r="A88" s="106" t="s">
        <v>101</v>
      </c>
      <c r="B88" s="103" t="s">
        <v>102</v>
      </c>
      <c r="C88" s="103">
        <v>7</v>
      </c>
      <c r="D88" s="31"/>
      <c r="E88" s="26"/>
      <c r="F88" s="26"/>
      <c r="G88" s="26"/>
      <c r="H88" s="48"/>
    </row>
    <row r="89" spans="1:8" ht="16.25" customHeight="1" thickBot="1" x14ac:dyDescent="0.2">
      <c r="A89" s="114" t="s">
        <v>33</v>
      </c>
      <c r="B89" s="115"/>
      <c r="C89" s="116" t="s">
        <v>103</v>
      </c>
      <c r="D89" s="117"/>
      <c r="E89" s="41" t="s">
        <v>35</v>
      </c>
      <c r="F89" s="60"/>
      <c r="G89" s="61"/>
      <c r="H89" s="48" t="e">
        <f t="shared" si="0"/>
        <v>#VALUE!</v>
      </c>
    </row>
    <row r="90" spans="1:8" ht="16.25" customHeight="1" thickBot="1" x14ac:dyDescent="0.2">
      <c r="A90" s="114" t="s">
        <v>33</v>
      </c>
      <c r="B90" s="115"/>
      <c r="C90" s="116" t="s">
        <v>103</v>
      </c>
      <c r="D90" s="117"/>
      <c r="E90" s="41" t="s">
        <v>35</v>
      </c>
      <c r="F90" s="60"/>
      <c r="G90" s="61"/>
      <c r="H90" s="48"/>
    </row>
    <row r="91" spans="1:8" ht="35" thickBot="1" x14ac:dyDescent="0.2">
      <c r="A91" s="43" t="s">
        <v>104</v>
      </c>
      <c r="B91" s="20" t="s">
        <v>11</v>
      </c>
      <c r="C91" s="20" t="s">
        <v>12</v>
      </c>
      <c r="D91" s="20" t="s">
        <v>82</v>
      </c>
      <c r="E91" s="44" t="s">
        <v>83</v>
      </c>
      <c r="F91" s="20" t="s">
        <v>15</v>
      </c>
      <c r="G91" s="61"/>
      <c r="H91" s="48"/>
    </row>
    <row r="92" spans="1:8" ht="16.25" customHeight="1" x14ac:dyDescent="0.15">
      <c r="A92" s="107" t="s">
        <v>105</v>
      </c>
      <c r="B92" s="103" t="s">
        <v>106</v>
      </c>
      <c r="C92" s="103">
        <v>17</v>
      </c>
      <c r="D92" s="31"/>
      <c r="E92" s="49"/>
      <c r="F92" s="26"/>
      <c r="G92" s="61"/>
      <c r="H92" s="48"/>
    </row>
    <row r="93" spans="1:8" ht="17" customHeight="1" x14ac:dyDescent="0.15">
      <c r="A93" s="107" t="s">
        <v>107</v>
      </c>
      <c r="B93" s="103" t="s">
        <v>106</v>
      </c>
      <c r="C93" s="103">
        <v>5</v>
      </c>
      <c r="D93" s="26"/>
      <c r="E93" s="49"/>
      <c r="F93" s="26"/>
      <c r="G93" s="61"/>
      <c r="H93" s="48"/>
    </row>
    <row r="94" spans="1:8" ht="17" customHeight="1" thickBot="1" x14ac:dyDescent="0.2">
      <c r="A94" s="63"/>
      <c r="B94" s="63"/>
      <c r="C94" s="31"/>
      <c r="D94" s="26"/>
      <c r="E94" s="49"/>
      <c r="F94" s="26"/>
      <c r="G94" s="61"/>
      <c r="H94" s="48"/>
    </row>
    <row r="95" spans="1:8" ht="41" customHeight="1" thickBot="1" x14ac:dyDescent="0.2">
      <c r="A95" s="114" t="s">
        <v>33</v>
      </c>
      <c r="B95" s="115"/>
      <c r="C95" s="116" t="s">
        <v>103</v>
      </c>
      <c r="D95" s="117"/>
      <c r="E95" s="41" t="s">
        <v>35</v>
      </c>
      <c r="F95" s="60"/>
      <c r="G95" s="61"/>
      <c r="H95" s="48"/>
    </row>
    <row r="96" spans="1:8" ht="17" customHeight="1" thickBot="1" x14ac:dyDescent="0.2">
      <c r="A96" s="43" t="s">
        <v>108</v>
      </c>
      <c r="B96" s="20" t="s">
        <v>11</v>
      </c>
      <c r="C96" s="20" t="s">
        <v>12</v>
      </c>
      <c r="D96" s="20" t="s">
        <v>38</v>
      </c>
      <c r="E96" s="44"/>
      <c r="F96" s="20" t="s">
        <v>15</v>
      </c>
      <c r="G96" s="45"/>
      <c r="H96" s="48"/>
    </row>
    <row r="97" spans="1:11" ht="15.75" customHeight="1" x14ac:dyDescent="0.15">
      <c r="A97" s="96" t="s">
        <v>109</v>
      </c>
      <c r="B97" s="108" t="s">
        <v>110</v>
      </c>
      <c r="C97" s="109">
        <v>4</v>
      </c>
      <c r="D97" s="65"/>
      <c r="E97" s="62"/>
      <c r="F97" s="26"/>
      <c r="G97" s="26"/>
      <c r="H97" s="48">
        <f t="shared" si="0"/>
        <v>0</v>
      </c>
    </row>
    <row r="98" spans="1:11" ht="17" x14ac:dyDescent="0.15">
      <c r="A98" s="106" t="s">
        <v>111</v>
      </c>
      <c r="B98" s="108" t="s">
        <v>12</v>
      </c>
      <c r="C98" s="98">
        <v>4</v>
      </c>
      <c r="D98" s="65"/>
      <c r="E98" s="49"/>
      <c r="F98" s="26"/>
      <c r="G98" s="26"/>
      <c r="H98" s="48">
        <f t="shared" si="0"/>
        <v>0</v>
      </c>
    </row>
    <row r="99" spans="1:11" s="54" customFormat="1" ht="17" x14ac:dyDescent="0.15">
      <c r="A99" s="106" t="s">
        <v>112</v>
      </c>
      <c r="B99" s="108" t="s">
        <v>12</v>
      </c>
      <c r="C99" s="98">
        <v>4</v>
      </c>
      <c r="D99" s="65"/>
      <c r="E99" s="49"/>
      <c r="F99" s="26"/>
      <c r="G99" s="26"/>
      <c r="H99" s="48">
        <f t="shared" si="0"/>
        <v>0</v>
      </c>
      <c r="I99" s="2"/>
      <c r="J99" s="2"/>
      <c r="K99" s="2"/>
    </row>
    <row r="100" spans="1:11" s="54" customFormat="1" ht="17" x14ac:dyDescent="0.15">
      <c r="A100" s="106" t="s">
        <v>113</v>
      </c>
      <c r="B100" s="108" t="s">
        <v>114</v>
      </c>
      <c r="C100" s="103">
        <v>4</v>
      </c>
      <c r="D100" s="31"/>
      <c r="E100" s="49"/>
      <c r="F100" s="26"/>
      <c r="G100" s="26"/>
      <c r="H100" s="48">
        <f t="shared" si="0"/>
        <v>0</v>
      </c>
      <c r="I100" s="2"/>
      <c r="J100" s="2"/>
      <c r="K100" s="2"/>
    </row>
    <row r="101" spans="1:11" ht="17" x14ac:dyDescent="0.15">
      <c r="A101" s="106" t="s">
        <v>113</v>
      </c>
      <c r="B101" s="108" t="s">
        <v>115</v>
      </c>
      <c r="C101" s="103">
        <v>4</v>
      </c>
      <c r="D101" s="31"/>
      <c r="E101" s="49"/>
      <c r="F101" s="26"/>
      <c r="G101" s="26"/>
      <c r="H101" s="48"/>
    </row>
    <row r="102" spans="1:11" ht="17" x14ac:dyDescent="0.15">
      <c r="A102" s="106" t="s">
        <v>116</v>
      </c>
      <c r="B102" s="108" t="s">
        <v>12</v>
      </c>
      <c r="C102" s="98">
        <v>4</v>
      </c>
      <c r="D102" s="65"/>
      <c r="E102" s="49"/>
      <c r="F102" s="26"/>
      <c r="G102" s="26"/>
      <c r="H102" s="48">
        <f t="shared" si="0"/>
        <v>0</v>
      </c>
    </row>
    <row r="103" spans="1:11" ht="17" x14ac:dyDescent="0.15">
      <c r="A103" s="106" t="s">
        <v>117</v>
      </c>
      <c r="B103" s="108" t="s">
        <v>12</v>
      </c>
      <c r="C103" s="98">
        <v>4</v>
      </c>
      <c r="D103" s="65"/>
      <c r="E103" s="49"/>
      <c r="F103" s="26"/>
      <c r="G103" s="26"/>
      <c r="H103" s="48">
        <f t="shared" si="0"/>
        <v>0</v>
      </c>
    </row>
    <row r="104" spans="1:11" ht="17" x14ac:dyDescent="0.15">
      <c r="A104" s="106" t="s">
        <v>118</v>
      </c>
      <c r="B104" s="108" t="s">
        <v>12</v>
      </c>
      <c r="C104" s="98">
        <v>4</v>
      </c>
      <c r="D104" s="65"/>
      <c r="E104" s="49"/>
      <c r="F104" s="26"/>
      <c r="G104" s="26"/>
      <c r="H104" s="48">
        <f t="shared" si="0"/>
        <v>0</v>
      </c>
    </row>
    <row r="105" spans="1:11" ht="15.75" customHeight="1" thickBot="1" x14ac:dyDescent="0.2">
      <c r="A105" s="110" t="s">
        <v>119</v>
      </c>
      <c r="B105" s="111" t="s">
        <v>12</v>
      </c>
      <c r="C105" s="112">
        <v>50</v>
      </c>
      <c r="D105" s="66"/>
      <c r="E105" s="49"/>
      <c r="F105" s="38"/>
      <c r="G105" s="26"/>
      <c r="H105" s="48">
        <f t="shared" si="0"/>
        <v>0</v>
      </c>
    </row>
    <row r="106" spans="1:11" ht="18" thickBot="1" x14ac:dyDescent="0.2">
      <c r="A106" s="114" t="s">
        <v>33</v>
      </c>
      <c r="B106" s="115"/>
      <c r="C106" s="116" t="s">
        <v>120</v>
      </c>
      <c r="D106" s="117"/>
      <c r="E106" s="41" t="s">
        <v>35</v>
      </c>
      <c r="F106" s="60"/>
      <c r="G106" s="61"/>
      <c r="H106" s="67" t="e">
        <f t="shared" si="0"/>
        <v>#VALUE!</v>
      </c>
    </row>
    <row r="107" spans="1:11" s="54" customFormat="1" ht="16.25" customHeight="1" thickBot="1" x14ac:dyDescent="0.2">
      <c r="A107" s="43" t="s">
        <v>121</v>
      </c>
      <c r="B107" s="20" t="s">
        <v>11</v>
      </c>
      <c r="C107" s="20" t="s">
        <v>12</v>
      </c>
      <c r="D107" s="20"/>
      <c r="E107" s="44"/>
      <c r="F107" s="20" t="s">
        <v>15</v>
      </c>
      <c r="G107" s="45"/>
      <c r="H107" s="48"/>
      <c r="I107" s="2"/>
      <c r="J107" s="2"/>
      <c r="K107" s="2"/>
    </row>
    <row r="108" spans="1:11" ht="17" x14ac:dyDescent="0.15">
      <c r="A108" s="106" t="s">
        <v>122</v>
      </c>
      <c r="B108" s="103" t="s">
        <v>123</v>
      </c>
      <c r="C108" s="103">
        <v>1</v>
      </c>
      <c r="D108" s="26"/>
      <c r="E108" s="49"/>
      <c r="F108" s="26"/>
      <c r="G108" s="26"/>
      <c r="H108" s="48">
        <f t="shared" si="0"/>
        <v>0</v>
      </c>
    </row>
    <row r="109" spans="1:11" ht="17" x14ac:dyDescent="0.15">
      <c r="A109" s="106" t="s">
        <v>124</v>
      </c>
      <c r="B109" s="103" t="s">
        <v>125</v>
      </c>
      <c r="C109" s="103">
        <v>3</v>
      </c>
      <c r="D109" s="31"/>
      <c r="E109" s="49"/>
      <c r="F109" s="26"/>
      <c r="G109" s="26"/>
      <c r="H109" s="48">
        <f t="shared" si="0"/>
        <v>0</v>
      </c>
    </row>
    <row r="110" spans="1:11" ht="25.25" customHeight="1" x14ac:dyDescent="0.15">
      <c r="A110" s="30"/>
      <c r="B110" s="26"/>
      <c r="C110" s="26"/>
      <c r="D110" s="26"/>
      <c r="E110" s="49"/>
      <c r="F110" s="26"/>
      <c r="G110" s="26"/>
      <c r="H110" s="48"/>
    </row>
    <row r="111" spans="1:11" ht="17" x14ac:dyDescent="0.15">
      <c r="A111" s="106" t="s">
        <v>126</v>
      </c>
      <c r="B111" s="103" t="s">
        <v>127</v>
      </c>
      <c r="C111" s="103">
        <v>2</v>
      </c>
      <c r="D111" s="26"/>
      <c r="E111" s="49"/>
      <c r="F111" s="26"/>
      <c r="G111" s="26"/>
      <c r="H111" s="48"/>
    </row>
    <row r="112" spans="1:11" ht="17" x14ac:dyDescent="0.15">
      <c r="A112" s="106" t="s">
        <v>126</v>
      </c>
      <c r="B112" s="103" t="s">
        <v>223</v>
      </c>
      <c r="C112" s="103">
        <v>2</v>
      </c>
      <c r="D112" s="26"/>
      <c r="E112" s="49"/>
      <c r="F112" s="26"/>
      <c r="G112" s="26"/>
      <c r="H112" s="48"/>
    </row>
    <row r="113" spans="1:11" ht="17" x14ac:dyDescent="0.15">
      <c r="A113" s="106" t="s">
        <v>126</v>
      </c>
      <c r="B113" s="113" t="s">
        <v>224</v>
      </c>
      <c r="C113" s="113">
        <v>2</v>
      </c>
      <c r="D113" s="38"/>
      <c r="E113" s="49"/>
      <c r="F113" s="38"/>
      <c r="G113" s="26"/>
      <c r="H113" s="48"/>
    </row>
    <row r="114" spans="1:11" ht="18" thickBot="1" x14ac:dyDescent="0.2">
      <c r="A114" s="110" t="s">
        <v>128</v>
      </c>
      <c r="B114" s="113" t="s">
        <v>129</v>
      </c>
      <c r="C114" s="113">
        <v>1</v>
      </c>
      <c r="D114" s="38"/>
      <c r="E114" s="49"/>
      <c r="F114" s="38"/>
      <c r="G114" s="26"/>
      <c r="H114" s="48"/>
    </row>
    <row r="115" spans="1:11" ht="35.5" customHeight="1" thickBot="1" x14ac:dyDescent="0.2">
      <c r="A115" s="114" t="s">
        <v>33</v>
      </c>
      <c r="B115" s="115"/>
      <c r="C115" s="116" t="s">
        <v>103</v>
      </c>
      <c r="D115" s="117"/>
      <c r="E115" s="41" t="s">
        <v>35</v>
      </c>
      <c r="F115" s="60"/>
      <c r="G115" s="61"/>
      <c r="H115" s="48" t="e">
        <f t="shared" si="0"/>
        <v>#VALUE!</v>
      </c>
    </row>
    <row r="116" spans="1:11" ht="35" thickBot="1" x14ac:dyDescent="0.2">
      <c r="A116" s="43" t="s">
        <v>130</v>
      </c>
      <c r="B116" s="68" t="s">
        <v>11</v>
      </c>
      <c r="C116" s="68" t="s">
        <v>12</v>
      </c>
      <c r="D116" s="68" t="s">
        <v>82</v>
      </c>
      <c r="E116" s="69" t="s">
        <v>83</v>
      </c>
      <c r="F116" s="20" t="s">
        <v>15</v>
      </c>
      <c r="G116" s="70"/>
      <c r="H116" s="48"/>
    </row>
    <row r="117" spans="1:11" ht="17" x14ac:dyDescent="0.15">
      <c r="A117" s="96" t="s">
        <v>131</v>
      </c>
      <c r="B117" s="101" t="s">
        <v>132</v>
      </c>
      <c r="C117" s="98">
        <v>4</v>
      </c>
      <c r="D117" s="26"/>
      <c r="E117" s="49"/>
      <c r="F117" s="26"/>
      <c r="G117" s="26"/>
      <c r="H117" s="48"/>
    </row>
    <row r="118" spans="1:11" ht="17" x14ac:dyDescent="0.15">
      <c r="A118" s="96" t="s">
        <v>133</v>
      </c>
      <c r="B118" s="101" t="s">
        <v>226</v>
      </c>
      <c r="C118" s="98">
        <v>65</v>
      </c>
      <c r="D118" s="26"/>
      <c r="E118" s="49"/>
      <c r="F118" s="26"/>
      <c r="G118" s="26"/>
      <c r="H118" s="48"/>
    </row>
    <row r="119" spans="1:11" ht="17" x14ac:dyDescent="0.15">
      <c r="A119" s="96" t="s">
        <v>134</v>
      </c>
      <c r="B119" s="101" t="s">
        <v>225</v>
      </c>
      <c r="C119" s="98">
        <v>13</v>
      </c>
      <c r="D119" s="26"/>
      <c r="E119" s="49"/>
      <c r="F119" s="26"/>
      <c r="G119" s="26"/>
      <c r="H119" s="48"/>
    </row>
    <row r="120" spans="1:11" ht="16" x14ac:dyDescent="0.15">
      <c r="A120" s="23"/>
      <c r="B120" s="36"/>
      <c r="C120" s="25"/>
      <c r="D120" s="26"/>
      <c r="E120" s="49"/>
      <c r="F120" s="26"/>
      <c r="G120" s="26"/>
      <c r="H120" s="48"/>
    </row>
    <row r="121" spans="1:11" ht="17" x14ac:dyDescent="0.15">
      <c r="A121" s="96" t="s">
        <v>135</v>
      </c>
      <c r="B121" s="101" t="s">
        <v>12</v>
      </c>
      <c r="C121" s="98">
        <v>20</v>
      </c>
      <c r="D121" s="26"/>
      <c r="E121" s="49"/>
      <c r="F121" s="26"/>
      <c r="G121" s="26"/>
      <c r="H121" s="48"/>
    </row>
    <row r="122" spans="1:11" ht="16" x14ac:dyDescent="0.15">
      <c r="A122" s="23"/>
      <c r="B122" s="36"/>
      <c r="C122" s="25"/>
      <c r="D122" s="26"/>
      <c r="E122" s="49"/>
      <c r="F122" s="26"/>
      <c r="G122" s="26"/>
      <c r="H122" s="48"/>
    </row>
    <row r="123" spans="1:11" ht="17" x14ac:dyDescent="0.15">
      <c r="A123" s="96" t="s">
        <v>136</v>
      </c>
      <c r="B123" s="101" t="s">
        <v>137</v>
      </c>
      <c r="C123" s="98">
        <v>3</v>
      </c>
      <c r="D123" s="26"/>
      <c r="E123" s="49"/>
      <c r="F123" s="26"/>
      <c r="G123" s="26"/>
      <c r="H123" s="48"/>
    </row>
    <row r="124" spans="1:11" ht="16.25" customHeight="1" x14ac:dyDescent="0.15">
      <c r="A124" s="96" t="s">
        <v>138</v>
      </c>
      <c r="B124" s="101" t="s">
        <v>139</v>
      </c>
      <c r="C124" s="98">
        <v>6</v>
      </c>
      <c r="D124" s="26"/>
      <c r="E124" s="49"/>
      <c r="F124" s="26"/>
      <c r="G124" s="26"/>
      <c r="H124" s="48"/>
    </row>
    <row r="125" spans="1:11" ht="18" thickBot="1" x14ac:dyDescent="0.2">
      <c r="A125" s="96" t="s">
        <v>140</v>
      </c>
      <c r="B125" s="101" t="s">
        <v>139</v>
      </c>
      <c r="C125" s="98">
        <v>1</v>
      </c>
      <c r="D125" s="26"/>
      <c r="E125" s="49"/>
      <c r="F125" s="26"/>
      <c r="G125" s="26"/>
      <c r="H125" s="48"/>
    </row>
    <row r="126" spans="1:11" s="54" customFormat="1" ht="18" thickBot="1" x14ac:dyDescent="0.2">
      <c r="A126" s="114" t="s">
        <v>33</v>
      </c>
      <c r="B126" s="115"/>
      <c r="C126" s="116" t="s">
        <v>103</v>
      </c>
      <c r="D126" s="117"/>
      <c r="E126" s="41" t="s">
        <v>35</v>
      </c>
      <c r="F126" s="60"/>
      <c r="G126" s="45"/>
      <c r="H126" s="48"/>
      <c r="I126" s="2"/>
      <c r="J126" s="2"/>
      <c r="K126" s="2"/>
    </row>
    <row r="127" spans="1:11" ht="35" thickBot="1" x14ac:dyDescent="0.2">
      <c r="A127" s="43" t="s">
        <v>141</v>
      </c>
      <c r="B127" s="20" t="s">
        <v>11</v>
      </c>
      <c r="C127" s="20" t="s">
        <v>12</v>
      </c>
      <c r="D127" s="20"/>
      <c r="E127" s="44"/>
      <c r="F127" s="20" t="s">
        <v>142</v>
      </c>
      <c r="G127" s="26"/>
      <c r="H127" s="48" t="e">
        <f>G127*#REF!</f>
        <v>#REF!</v>
      </c>
    </row>
    <row r="128" spans="1:11" ht="17" x14ac:dyDescent="0.15">
      <c r="A128" s="23" t="s">
        <v>143</v>
      </c>
      <c r="B128" s="36" t="s">
        <v>139</v>
      </c>
      <c r="C128" s="31"/>
      <c r="D128" s="26"/>
      <c r="E128" s="26"/>
      <c r="F128" s="26"/>
      <c r="G128" s="71"/>
      <c r="H128" s="48"/>
    </row>
    <row r="129" spans="1:8" ht="17" x14ac:dyDescent="0.15">
      <c r="A129" s="23" t="s">
        <v>144</v>
      </c>
      <c r="B129" s="36" t="s">
        <v>139</v>
      </c>
      <c r="C129" s="31"/>
      <c r="D129" s="26"/>
      <c r="E129" s="26"/>
      <c r="F129" s="26"/>
      <c r="G129" s="71"/>
      <c r="H129" s="48"/>
    </row>
    <row r="130" spans="1:8" ht="17" x14ac:dyDescent="0.15">
      <c r="A130" s="23" t="s">
        <v>145</v>
      </c>
      <c r="B130" s="36" t="s">
        <v>139</v>
      </c>
      <c r="C130" s="31"/>
      <c r="D130" s="26"/>
      <c r="E130" s="26"/>
      <c r="F130" s="26"/>
      <c r="G130" s="71"/>
      <c r="H130" s="48"/>
    </row>
    <row r="131" spans="1:8" ht="17" x14ac:dyDescent="0.15">
      <c r="A131" s="23" t="s">
        <v>146</v>
      </c>
      <c r="B131" s="36" t="s">
        <v>139</v>
      </c>
      <c r="C131" s="72"/>
      <c r="D131" s="26"/>
      <c r="E131" s="26"/>
      <c r="F131" s="26"/>
      <c r="G131" s="71"/>
      <c r="H131" s="48"/>
    </row>
    <row r="132" spans="1:8" ht="17" x14ac:dyDescent="0.15">
      <c r="A132" s="23" t="s">
        <v>147</v>
      </c>
      <c r="B132" s="36" t="s">
        <v>139</v>
      </c>
      <c r="C132" s="72"/>
      <c r="D132" s="26"/>
      <c r="E132" s="26"/>
      <c r="F132" s="26"/>
      <c r="G132" s="71"/>
      <c r="H132" s="48"/>
    </row>
    <row r="133" spans="1:8" ht="17" x14ac:dyDescent="0.15">
      <c r="A133" s="23" t="s">
        <v>148</v>
      </c>
      <c r="B133" s="36" t="s">
        <v>139</v>
      </c>
      <c r="C133" s="72"/>
      <c r="D133" s="26"/>
      <c r="E133" s="26"/>
      <c r="F133" s="26"/>
      <c r="G133" s="71"/>
      <c r="H133" s="48"/>
    </row>
    <row r="134" spans="1:8" ht="17" x14ac:dyDescent="0.15">
      <c r="A134" s="23" t="s">
        <v>149</v>
      </c>
      <c r="B134" s="36" t="s">
        <v>139</v>
      </c>
      <c r="C134" s="72"/>
      <c r="D134" s="26"/>
      <c r="E134" s="26"/>
      <c r="F134" s="26"/>
      <c r="G134" s="71"/>
      <c r="H134" s="48"/>
    </row>
    <row r="135" spans="1:8" ht="17" x14ac:dyDescent="0.15">
      <c r="A135" s="73" t="s">
        <v>150</v>
      </c>
      <c r="B135" s="36" t="s">
        <v>139</v>
      </c>
      <c r="C135" s="72"/>
      <c r="D135" s="31"/>
      <c r="E135" s="74"/>
      <c r="F135" s="71"/>
      <c r="G135" s="71"/>
      <c r="H135" s="48" t="e">
        <f>G135*#REF!</f>
        <v>#REF!</v>
      </c>
    </row>
    <row r="136" spans="1:8" ht="17" x14ac:dyDescent="0.15">
      <c r="A136" s="73" t="s">
        <v>151</v>
      </c>
      <c r="B136" s="36" t="s">
        <v>12</v>
      </c>
      <c r="C136" s="75"/>
      <c r="D136" s="72"/>
      <c r="E136" s="33"/>
      <c r="F136" s="34"/>
      <c r="G136" s="34"/>
      <c r="H136" s="48">
        <f t="shared" ref="H136:H137" si="1">G136*C137</f>
        <v>0</v>
      </c>
    </row>
    <row r="137" spans="1:8" ht="17" x14ac:dyDescent="0.15">
      <c r="A137" s="73" t="s">
        <v>152</v>
      </c>
      <c r="B137" s="36" t="s">
        <v>12</v>
      </c>
      <c r="C137" s="75"/>
      <c r="D137" s="72"/>
      <c r="E137" s="33"/>
      <c r="F137" s="34"/>
      <c r="G137" s="76"/>
      <c r="H137" s="48">
        <f t="shared" si="1"/>
        <v>0</v>
      </c>
    </row>
    <row r="138" spans="1:8" ht="17" x14ac:dyDescent="0.15">
      <c r="A138" s="73" t="s">
        <v>153</v>
      </c>
      <c r="B138" s="36" t="s">
        <v>12</v>
      </c>
      <c r="C138" s="75"/>
      <c r="D138" s="75"/>
      <c r="E138" s="77"/>
      <c r="F138" s="76"/>
      <c r="G138" s="76"/>
      <c r="H138" s="48" t="e">
        <f>G138*#REF!</f>
        <v>#REF!</v>
      </c>
    </row>
    <row r="139" spans="1:8" ht="17" x14ac:dyDescent="0.15">
      <c r="A139" s="73" t="s">
        <v>154</v>
      </c>
      <c r="B139" s="36" t="s">
        <v>12</v>
      </c>
      <c r="C139" s="75"/>
      <c r="D139" s="75"/>
      <c r="E139" s="77"/>
      <c r="F139" s="76"/>
      <c r="G139" s="78"/>
      <c r="H139" s="79"/>
    </row>
    <row r="140" spans="1:8" ht="18" thickBot="1" x14ac:dyDescent="0.2">
      <c r="A140" s="73" t="s">
        <v>155</v>
      </c>
      <c r="B140" s="36" t="s">
        <v>93</v>
      </c>
      <c r="C140" s="75"/>
      <c r="D140" s="75"/>
      <c r="E140" s="77"/>
      <c r="F140" s="76"/>
      <c r="G140" s="78"/>
      <c r="H140" s="79"/>
    </row>
    <row r="141" spans="1:8" ht="18" thickBot="1" x14ac:dyDescent="0.2">
      <c r="A141" s="114" t="s">
        <v>33</v>
      </c>
      <c r="B141" s="115"/>
      <c r="C141" s="116" t="s">
        <v>103</v>
      </c>
      <c r="D141" s="117"/>
      <c r="E141" s="41" t="s">
        <v>35</v>
      </c>
      <c r="F141" s="60"/>
      <c r="G141" s="80"/>
      <c r="H141" s="79"/>
    </row>
    <row r="142" spans="1:8" ht="35" thickBot="1" x14ac:dyDescent="0.2">
      <c r="A142" s="43" t="s">
        <v>156</v>
      </c>
      <c r="B142" s="20" t="s">
        <v>11</v>
      </c>
      <c r="C142" s="20" t="s">
        <v>12</v>
      </c>
      <c r="D142" s="20"/>
      <c r="E142" s="44"/>
      <c r="F142" s="20" t="s">
        <v>142</v>
      </c>
      <c r="G142" s="26"/>
      <c r="H142" s="48" t="e">
        <f>G142*#REF!</f>
        <v>#REF!</v>
      </c>
    </row>
    <row r="143" spans="1:8" ht="17" x14ac:dyDescent="0.15">
      <c r="A143" s="30" t="s">
        <v>157</v>
      </c>
      <c r="B143" s="64" t="s">
        <v>12</v>
      </c>
      <c r="C143" s="81"/>
      <c r="D143" s="81"/>
      <c r="E143" s="81"/>
      <c r="F143" s="81"/>
      <c r="G143" s="71"/>
      <c r="H143" s="48"/>
    </row>
    <row r="144" spans="1:8" ht="17" x14ac:dyDescent="0.15">
      <c r="A144" s="30" t="s">
        <v>158</v>
      </c>
      <c r="B144" s="64" t="s">
        <v>12</v>
      </c>
      <c r="C144" s="26"/>
      <c r="D144" s="26"/>
      <c r="E144" s="26"/>
      <c r="F144" s="26"/>
      <c r="G144" s="71"/>
      <c r="H144" s="48"/>
    </row>
    <row r="145" spans="1:8" ht="17" x14ac:dyDescent="0.15">
      <c r="A145" s="30" t="s">
        <v>159</v>
      </c>
      <c r="B145" s="64" t="s">
        <v>12</v>
      </c>
      <c r="C145" s="26"/>
      <c r="D145" s="26"/>
      <c r="E145" s="26"/>
      <c r="F145" s="26"/>
      <c r="G145" s="71"/>
      <c r="H145" s="48"/>
    </row>
    <row r="146" spans="1:8" ht="17" x14ac:dyDescent="0.15">
      <c r="A146" s="30" t="s">
        <v>160</v>
      </c>
      <c r="B146" s="64" t="s">
        <v>161</v>
      </c>
      <c r="C146" s="26"/>
      <c r="D146" s="26"/>
      <c r="E146" s="26"/>
      <c r="F146" s="26"/>
      <c r="G146" s="71"/>
      <c r="H146" s="48"/>
    </row>
    <row r="147" spans="1:8" ht="17" x14ac:dyDescent="0.15">
      <c r="A147" s="30" t="s">
        <v>162</v>
      </c>
      <c r="B147" s="64" t="s">
        <v>163</v>
      </c>
      <c r="C147" s="26"/>
      <c r="D147" s="26"/>
      <c r="E147" s="26"/>
      <c r="F147" s="26"/>
      <c r="G147" s="71"/>
      <c r="H147" s="48"/>
    </row>
    <row r="148" spans="1:8" ht="17" x14ac:dyDescent="0.15">
      <c r="A148" s="30" t="s">
        <v>164</v>
      </c>
      <c r="B148" s="64" t="s">
        <v>165</v>
      </c>
      <c r="C148" s="26"/>
      <c r="D148" s="26"/>
      <c r="E148" s="26"/>
      <c r="F148" s="26"/>
      <c r="G148" s="71"/>
      <c r="H148" s="48"/>
    </row>
    <row r="149" spans="1:8" ht="17" x14ac:dyDescent="0.15">
      <c r="A149" s="30" t="s">
        <v>166</v>
      </c>
      <c r="B149" s="64" t="s">
        <v>93</v>
      </c>
      <c r="C149" s="26"/>
      <c r="D149" s="26"/>
      <c r="E149" s="26"/>
      <c r="F149" s="26"/>
      <c r="G149" s="71"/>
      <c r="H149" s="48"/>
    </row>
    <row r="150" spans="1:8" ht="17" x14ac:dyDescent="0.15">
      <c r="A150" s="30" t="s">
        <v>167</v>
      </c>
      <c r="B150" s="64" t="s">
        <v>93</v>
      </c>
      <c r="C150" s="26"/>
      <c r="D150" s="26"/>
      <c r="E150" s="26"/>
      <c r="F150" s="26"/>
      <c r="G150" s="71"/>
      <c r="H150" s="48"/>
    </row>
    <row r="151" spans="1:8" ht="17" x14ac:dyDescent="0.15">
      <c r="A151" s="30" t="s">
        <v>168</v>
      </c>
      <c r="B151" s="64" t="s">
        <v>12</v>
      </c>
      <c r="C151" s="26"/>
      <c r="D151" s="26"/>
      <c r="E151" s="26"/>
      <c r="F151" s="26"/>
      <c r="G151" s="71"/>
      <c r="H151" s="48"/>
    </row>
    <row r="152" spans="1:8" ht="17" x14ac:dyDescent="0.15">
      <c r="A152" s="30" t="s">
        <v>169</v>
      </c>
      <c r="B152" s="64" t="s">
        <v>12</v>
      </c>
      <c r="C152" s="26"/>
      <c r="D152" s="26"/>
      <c r="E152" s="26"/>
      <c r="F152" s="26"/>
      <c r="G152" s="71"/>
      <c r="H152" s="48"/>
    </row>
    <row r="153" spans="1:8" ht="17" x14ac:dyDescent="0.15">
      <c r="A153" s="30" t="s">
        <v>170</v>
      </c>
      <c r="B153" s="64" t="s">
        <v>12</v>
      </c>
      <c r="C153" s="26"/>
      <c r="D153" s="26"/>
      <c r="E153" s="26"/>
      <c r="F153" s="26"/>
      <c r="G153" s="71"/>
      <c r="H153" s="48"/>
    </row>
    <row r="154" spans="1:8" ht="17" x14ac:dyDescent="0.15">
      <c r="A154" s="30" t="s">
        <v>171</v>
      </c>
      <c r="B154" s="64" t="s">
        <v>12</v>
      </c>
      <c r="C154" s="26"/>
      <c r="D154" s="26"/>
      <c r="E154" s="26"/>
      <c r="F154" s="26"/>
      <c r="G154" s="71"/>
      <c r="H154" s="48"/>
    </row>
    <row r="155" spans="1:8" ht="17" x14ac:dyDescent="0.15">
      <c r="A155" s="30" t="s">
        <v>172</v>
      </c>
      <c r="B155" s="64" t="s">
        <v>12</v>
      </c>
      <c r="C155" s="26"/>
      <c r="D155" s="26"/>
      <c r="E155" s="26"/>
      <c r="F155" s="26"/>
      <c r="G155" s="71"/>
      <c r="H155" s="48"/>
    </row>
    <row r="156" spans="1:8" ht="17" x14ac:dyDescent="0.15">
      <c r="A156" s="30" t="s">
        <v>173</v>
      </c>
      <c r="B156" s="64" t="s">
        <v>12</v>
      </c>
      <c r="C156" s="26"/>
      <c r="D156" s="26"/>
      <c r="E156" s="26"/>
      <c r="F156" s="26"/>
      <c r="G156" s="71"/>
      <c r="H156" s="48"/>
    </row>
    <row r="157" spans="1:8" ht="17" x14ac:dyDescent="0.15">
      <c r="A157" s="30" t="s">
        <v>174</v>
      </c>
      <c r="B157" s="64" t="s">
        <v>12</v>
      </c>
      <c r="C157" s="26"/>
      <c r="D157" s="26"/>
      <c r="E157" s="26"/>
      <c r="F157" s="26"/>
      <c r="G157" s="71"/>
      <c r="H157" s="48"/>
    </row>
    <row r="158" spans="1:8" ht="17" x14ac:dyDescent="0.15">
      <c r="A158" s="30" t="s">
        <v>175</v>
      </c>
      <c r="B158" s="64" t="s">
        <v>176</v>
      </c>
      <c r="C158" s="26"/>
      <c r="D158" s="31"/>
      <c r="E158" s="71"/>
      <c r="F158" s="71"/>
      <c r="G158" s="71"/>
      <c r="H158" s="48">
        <f t="shared" ref="H158:H159" si="2">G158*C159</f>
        <v>0</v>
      </c>
    </row>
    <row r="159" spans="1:8" ht="17" x14ac:dyDescent="0.15">
      <c r="A159" s="30" t="s">
        <v>177</v>
      </c>
      <c r="B159" s="64" t="s">
        <v>178</v>
      </c>
      <c r="C159" s="26"/>
      <c r="D159" s="31"/>
      <c r="E159" s="71"/>
      <c r="F159" s="71"/>
      <c r="G159" s="34"/>
      <c r="H159" s="48">
        <f t="shared" si="2"/>
        <v>0</v>
      </c>
    </row>
    <row r="160" spans="1:8" ht="18" thickBot="1" x14ac:dyDescent="0.2">
      <c r="A160" s="30" t="s">
        <v>179</v>
      </c>
      <c r="B160" s="64" t="s">
        <v>139</v>
      </c>
      <c r="C160" s="36"/>
      <c r="D160" s="31"/>
      <c r="E160" s="34"/>
      <c r="F160" s="34"/>
      <c r="G160" s="34"/>
      <c r="H160" s="48" t="e">
        <f>G160*#REF!</f>
        <v>#REF!</v>
      </c>
    </row>
    <row r="161" spans="1:8" ht="18" thickBot="1" x14ac:dyDescent="0.2">
      <c r="A161" s="114" t="s">
        <v>33</v>
      </c>
      <c r="B161" s="115"/>
      <c r="C161" s="116" t="s">
        <v>103</v>
      </c>
      <c r="D161" s="117"/>
      <c r="E161" s="41" t="s">
        <v>35</v>
      </c>
      <c r="F161" s="60"/>
      <c r="G161" s="80"/>
      <c r="H161" s="79"/>
    </row>
    <row r="162" spans="1:8" ht="35" thickBot="1" x14ac:dyDescent="0.2">
      <c r="A162" s="43" t="s">
        <v>180</v>
      </c>
      <c r="B162" s="20" t="s">
        <v>11</v>
      </c>
      <c r="C162" s="20" t="s">
        <v>12</v>
      </c>
      <c r="D162" s="20"/>
      <c r="E162" s="44"/>
      <c r="F162" s="20" t="s">
        <v>142</v>
      </c>
      <c r="G162" s="26"/>
      <c r="H162" s="48" t="e">
        <f>G162*#REF!</f>
        <v>#REF!</v>
      </c>
    </row>
    <row r="163" spans="1:8" ht="17" x14ac:dyDescent="0.15">
      <c r="A163" s="23" t="s">
        <v>181</v>
      </c>
      <c r="B163" s="36" t="s">
        <v>182</v>
      </c>
      <c r="C163" s="65"/>
      <c r="D163" s="65">
        <v>6</v>
      </c>
      <c r="E163" s="26"/>
      <c r="F163" s="26"/>
      <c r="G163" s="71"/>
      <c r="H163" s="48"/>
    </row>
    <row r="164" spans="1:8" ht="17" x14ac:dyDescent="0.15">
      <c r="A164" s="23" t="s">
        <v>183</v>
      </c>
      <c r="B164" s="36" t="s">
        <v>139</v>
      </c>
      <c r="C164" s="65"/>
      <c r="D164" s="65">
        <v>15</v>
      </c>
      <c r="E164" s="26"/>
      <c r="F164" s="26"/>
      <c r="G164" s="71"/>
      <c r="H164" s="48"/>
    </row>
    <row r="165" spans="1:8" ht="17" x14ac:dyDescent="0.15">
      <c r="A165" s="23" t="s">
        <v>184</v>
      </c>
      <c r="B165" s="36" t="s">
        <v>139</v>
      </c>
      <c r="C165" s="65"/>
      <c r="D165" s="65">
        <v>12</v>
      </c>
      <c r="E165" s="26"/>
      <c r="F165" s="26"/>
      <c r="G165" s="71"/>
      <c r="H165" s="48"/>
    </row>
    <row r="166" spans="1:8" ht="17" x14ac:dyDescent="0.15">
      <c r="A166" s="23" t="s">
        <v>185</v>
      </c>
      <c r="B166" s="36" t="s">
        <v>139</v>
      </c>
      <c r="C166" s="65"/>
      <c r="D166" s="65">
        <v>6</v>
      </c>
      <c r="E166" s="26"/>
      <c r="F166" s="26"/>
      <c r="G166" s="71"/>
      <c r="H166" s="48"/>
    </row>
    <row r="167" spans="1:8" ht="17" x14ac:dyDescent="0.15">
      <c r="A167" s="23" t="s">
        <v>186</v>
      </c>
      <c r="B167" s="36" t="s">
        <v>139</v>
      </c>
      <c r="C167" s="65"/>
      <c r="D167" s="65">
        <v>15</v>
      </c>
      <c r="E167" s="26"/>
      <c r="F167" s="26"/>
      <c r="G167" s="71"/>
      <c r="H167" s="48"/>
    </row>
    <row r="168" spans="1:8" ht="17" x14ac:dyDescent="0.15">
      <c r="A168" s="23" t="s">
        <v>187</v>
      </c>
      <c r="B168" s="36" t="s">
        <v>139</v>
      </c>
      <c r="C168" s="65"/>
      <c r="D168" s="65">
        <v>6</v>
      </c>
      <c r="E168" s="26"/>
      <c r="F168" s="26"/>
      <c r="G168" s="71"/>
      <c r="H168" s="48"/>
    </row>
    <row r="169" spans="1:8" ht="17" x14ac:dyDescent="0.15">
      <c r="A169" s="23" t="s">
        <v>188</v>
      </c>
      <c r="B169" s="36" t="s">
        <v>139</v>
      </c>
      <c r="C169" s="65"/>
      <c r="D169" s="65">
        <v>3</v>
      </c>
      <c r="E169" s="26"/>
      <c r="F169" s="26"/>
      <c r="G169" s="71"/>
      <c r="H169" s="48"/>
    </row>
    <row r="170" spans="1:8" ht="16" x14ac:dyDescent="0.15">
      <c r="A170" s="32"/>
      <c r="B170" s="82"/>
      <c r="C170" s="66"/>
      <c r="D170" s="66"/>
      <c r="E170" s="26"/>
      <c r="F170" s="26"/>
      <c r="G170" s="71"/>
      <c r="H170" s="48"/>
    </row>
    <row r="171" spans="1:8" ht="17" x14ac:dyDescent="0.15">
      <c r="A171" s="23" t="s">
        <v>189</v>
      </c>
      <c r="B171" s="36" t="s">
        <v>190</v>
      </c>
      <c r="C171" s="65"/>
      <c r="D171" s="65"/>
      <c r="E171" s="34"/>
      <c r="F171" s="34"/>
      <c r="G171" s="34"/>
      <c r="H171" s="48" t="e">
        <f>G171*#REF!</f>
        <v>#REF!</v>
      </c>
    </row>
    <row r="172" spans="1:8" ht="17" x14ac:dyDescent="0.15">
      <c r="A172" s="32" t="s">
        <v>191</v>
      </c>
      <c r="B172" s="82" t="s">
        <v>190</v>
      </c>
      <c r="C172" s="66"/>
      <c r="D172" s="66"/>
      <c r="E172" s="83"/>
      <c r="F172" s="83"/>
      <c r="G172" s="84"/>
      <c r="H172" s="79"/>
    </row>
    <row r="173" spans="1:8" ht="16" x14ac:dyDescent="0.15">
      <c r="A173" s="32"/>
      <c r="B173" s="82"/>
      <c r="C173" s="66"/>
      <c r="D173" s="66"/>
      <c r="E173" s="83"/>
      <c r="F173" s="83"/>
      <c r="G173" s="84"/>
      <c r="H173" s="79"/>
    </row>
    <row r="174" spans="1:8" ht="17" x14ac:dyDescent="0.15">
      <c r="A174" s="32" t="s">
        <v>192</v>
      </c>
      <c r="B174" s="82" t="s">
        <v>190</v>
      </c>
      <c r="C174" s="66"/>
      <c r="D174" s="66"/>
      <c r="E174" s="83"/>
      <c r="F174" s="83"/>
      <c r="G174" s="84"/>
      <c r="H174" s="79"/>
    </row>
    <row r="175" spans="1:8" ht="16" x14ac:dyDescent="0.15">
      <c r="A175" s="32"/>
      <c r="B175" s="82"/>
      <c r="C175" s="66"/>
      <c r="D175" s="66"/>
      <c r="E175" s="83"/>
      <c r="F175" s="83"/>
      <c r="G175" s="84"/>
      <c r="H175" s="79"/>
    </row>
    <row r="176" spans="1:8" ht="17" x14ac:dyDescent="0.15">
      <c r="A176" s="32" t="s">
        <v>193</v>
      </c>
      <c r="B176" s="82" t="s">
        <v>190</v>
      </c>
      <c r="C176" s="66"/>
      <c r="D176" s="66"/>
      <c r="E176" s="83"/>
      <c r="F176" s="83"/>
      <c r="G176" s="84"/>
      <c r="H176" s="79"/>
    </row>
    <row r="177" spans="1:8" ht="16" x14ac:dyDescent="0.15">
      <c r="A177" s="32"/>
      <c r="B177" s="82"/>
      <c r="C177" s="66"/>
      <c r="D177" s="66"/>
      <c r="E177" s="83"/>
      <c r="F177" s="83"/>
      <c r="G177" s="84"/>
      <c r="H177" s="79"/>
    </row>
    <row r="178" spans="1:8" ht="17" x14ac:dyDescent="0.15">
      <c r="A178" s="32" t="s">
        <v>194</v>
      </c>
      <c r="B178" s="82" t="s">
        <v>190</v>
      </c>
      <c r="C178" s="66"/>
      <c r="D178" s="66"/>
      <c r="E178" s="83"/>
      <c r="F178" s="83"/>
      <c r="G178" s="84"/>
      <c r="H178" s="79"/>
    </row>
    <row r="179" spans="1:8" ht="16" x14ac:dyDescent="0.15">
      <c r="A179" s="32"/>
      <c r="B179" s="82"/>
      <c r="C179" s="66"/>
      <c r="D179" s="66"/>
      <c r="E179" s="83"/>
      <c r="F179" s="83"/>
      <c r="G179" s="84"/>
      <c r="H179" s="79"/>
    </row>
    <row r="180" spans="1:8" ht="17" x14ac:dyDescent="0.15">
      <c r="A180" s="32" t="s">
        <v>195</v>
      </c>
      <c r="B180" s="82" t="s">
        <v>190</v>
      </c>
      <c r="C180" s="66"/>
      <c r="D180" s="66"/>
      <c r="E180" s="83"/>
      <c r="F180" s="83"/>
      <c r="G180" s="84"/>
      <c r="H180" s="79"/>
    </row>
    <row r="181" spans="1:8" ht="16" x14ac:dyDescent="0.15">
      <c r="A181" s="32"/>
      <c r="B181" s="82"/>
      <c r="C181" s="66"/>
      <c r="D181" s="66"/>
      <c r="E181" s="83"/>
      <c r="F181" s="83"/>
      <c r="G181" s="84"/>
      <c r="H181" s="79"/>
    </row>
    <row r="182" spans="1:8" ht="17" x14ac:dyDescent="0.15">
      <c r="A182" s="32" t="s">
        <v>196</v>
      </c>
      <c r="B182" s="82" t="s">
        <v>93</v>
      </c>
      <c r="C182" s="66"/>
      <c r="D182" s="66"/>
      <c r="E182" s="83"/>
      <c r="F182" s="83"/>
      <c r="G182" s="84"/>
      <c r="H182" s="79"/>
    </row>
    <row r="183" spans="1:8" ht="17" x14ac:dyDescent="0.15">
      <c r="A183" s="32" t="s">
        <v>197</v>
      </c>
      <c r="B183" s="82" t="s">
        <v>12</v>
      </c>
      <c r="C183" s="66"/>
      <c r="D183" s="66"/>
      <c r="E183" s="83"/>
      <c r="F183" s="83"/>
      <c r="G183" s="84"/>
      <c r="H183" s="79"/>
    </row>
    <row r="184" spans="1:8" ht="17" x14ac:dyDescent="0.15">
      <c r="A184" s="32" t="s">
        <v>198</v>
      </c>
      <c r="B184" s="82" t="s">
        <v>12</v>
      </c>
      <c r="C184" s="66"/>
      <c r="D184" s="66"/>
      <c r="E184" s="83"/>
      <c r="F184" s="83"/>
      <c r="G184" s="84"/>
      <c r="H184" s="79"/>
    </row>
    <row r="185" spans="1:8" ht="18" thickBot="1" x14ac:dyDescent="0.2">
      <c r="A185" s="32" t="s">
        <v>199</v>
      </c>
      <c r="B185" s="82" t="s">
        <v>12</v>
      </c>
      <c r="C185" s="66"/>
      <c r="D185" s="66"/>
      <c r="E185" s="83"/>
      <c r="F185" s="83"/>
      <c r="G185" s="84"/>
      <c r="H185" s="79"/>
    </row>
    <row r="186" spans="1:8" ht="16.25" customHeight="1" thickBot="1" x14ac:dyDescent="0.2">
      <c r="A186" s="114" t="s">
        <v>33</v>
      </c>
      <c r="B186" s="115"/>
      <c r="C186" s="116" t="s">
        <v>103</v>
      </c>
      <c r="D186" s="117"/>
      <c r="E186" s="41" t="s">
        <v>35</v>
      </c>
      <c r="F186" s="60"/>
      <c r="G186" s="80"/>
      <c r="H186" s="79"/>
    </row>
    <row r="187" spans="1:8" ht="35" thickBot="1" x14ac:dyDescent="0.2">
      <c r="A187" s="43" t="s">
        <v>200</v>
      </c>
      <c r="B187" s="20" t="s">
        <v>11</v>
      </c>
      <c r="C187" s="20" t="s">
        <v>12</v>
      </c>
      <c r="D187" s="20"/>
      <c r="E187" s="44"/>
      <c r="F187" s="20" t="s">
        <v>142</v>
      </c>
      <c r="G187" s="26"/>
      <c r="H187" s="48" t="e">
        <f>G187*#REF!</f>
        <v>#REF!</v>
      </c>
    </row>
    <row r="188" spans="1:8" ht="17" x14ac:dyDescent="0.15">
      <c r="A188" s="30" t="s">
        <v>201</v>
      </c>
      <c r="B188" s="64" t="s">
        <v>202</v>
      </c>
      <c r="C188" s="26"/>
      <c r="D188" s="31"/>
      <c r="E188" s="85"/>
      <c r="F188" s="71"/>
      <c r="G188" s="34"/>
      <c r="H188" s="48">
        <f t="shared" ref="H188:H196" si="3">G188*C189</f>
        <v>0</v>
      </c>
    </row>
    <row r="189" spans="1:8" ht="17" x14ac:dyDescent="0.15">
      <c r="A189" s="30" t="s">
        <v>203</v>
      </c>
      <c r="B189" s="64" t="s">
        <v>202</v>
      </c>
      <c r="C189" s="36"/>
      <c r="D189" s="31"/>
      <c r="E189" s="33"/>
      <c r="F189" s="34"/>
      <c r="G189" s="34"/>
      <c r="H189" s="48">
        <f t="shared" si="3"/>
        <v>0</v>
      </c>
    </row>
    <row r="190" spans="1:8" ht="17" x14ac:dyDescent="0.15">
      <c r="A190" s="30" t="s">
        <v>204</v>
      </c>
      <c r="B190" s="64" t="s">
        <v>205</v>
      </c>
      <c r="C190" s="36"/>
      <c r="D190" s="72"/>
      <c r="E190" s="33"/>
      <c r="F190" s="34"/>
      <c r="G190" s="34"/>
      <c r="H190" s="48">
        <f>G190*C192</f>
        <v>0</v>
      </c>
    </row>
    <row r="191" spans="1:8" ht="17" x14ac:dyDescent="0.15">
      <c r="A191" s="30" t="s">
        <v>206</v>
      </c>
      <c r="B191" s="64" t="s">
        <v>205</v>
      </c>
      <c r="C191" s="36"/>
      <c r="D191" s="72"/>
      <c r="E191" s="33"/>
      <c r="F191" s="34"/>
      <c r="G191" s="34"/>
      <c r="H191" s="48"/>
    </row>
    <row r="192" spans="1:8" ht="17" x14ac:dyDescent="0.15">
      <c r="A192" s="30" t="s">
        <v>207</v>
      </c>
      <c r="B192" s="64" t="s">
        <v>12</v>
      </c>
      <c r="C192" s="36"/>
      <c r="D192" s="72"/>
      <c r="E192" s="33"/>
      <c r="F192" s="34"/>
      <c r="G192" s="76"/>
      <c r="H192" s="48">
        <f t="shared" si="3"/>
        <v>0</v>
      </c>
    </row>
    <row r="193" spans="1:8" ht="17" x14ac:dyDescent="0.15">
      <c r="A193" s="30" t="s">
        <v>208</v>
      </c>
      <c r="B193" s="64" t="s">
        <v>12</v>
      </c>
      <c r="C193" s="24">
        <v>3</v>
      </c>
      <c r="D193" s="75"/>
      <c r="E193" s="77"/>
      <c r="F193" s="76"/>
      <c r="G193" s="76"/>
      <c r="H193" s="48">
        <f t="shared" si="3"/>
        <v>0</v>
      </c>
    </row>
    <row r="194" spans="1:8" ht="17" x14ac:dyDescent="0.15">
      <c r="A194" s="30" t="s">
        <v>209</v>
      </c>
      <c r="B194" s="64" t="s">
        <v>12</v>
      </c>
      <c r="C194" s="24">
        <v>30</v>
      </c>
      <c r="D194" s="75"/>
      <c r="E194" s="77"/>
      <c r="F194" s="76"/>
      <c r="G194" s="76"/>
      <c r="H194" s="48">
        <f>G194*C196</f>
        <v>0</v>
      </c>
    </row>
    <row r="195" spans="1:8" ht="17" x14ac:dyDescent="0.15">
      <c r="A195" s="30" t="s">
        <v>210</v>
      </c>
      <c r="B195" s="64" t="s">
        <v>12</v>
      </c>
      <c r="C195" s="40">
        <v>2</v>
      </c>
      <c r="D195" s="86"/>
      <c r="E195" s="77"/>
      <c r="F195" s="87"/>
      <c r="G195" s="88"/>
      <c r="H195" s="48"/>
    </row>
    <row r="196" spans="1:8" ht="18" thickBot="1" x14ac:dyDescent="0.2">
      <c r="A196" s="30" t="s">
        <v>211</v>
      </c>
      <c r="B196" s="64" t="s">
        <v>12</v>
      </c>
      <c r="C196" s="40">
        <v>2</v>
      </c>
      <c r="D196" s="86"/>
      <c r="E196" s="77"/>
      <c r="F196" s="87"/>
      <c r="G196" s="53"/>
      <c r="H196" s="48" t="e">
        <f t="shared" si="3"/>
        <v>#VALUE!</v>
      </c>
    </row>
    <row r="197" spans="1:8" ht="18" thickBot="1" x14ac:dyDescent="0.2">
      <c r="A197" s="114" t="s">
        <v>33</v>
      </c>
      <c r="B197" s="115"/>
      <c r="C197" s="116" t="s">
        <v>103</v>
      </c>
      <c r="D197" s="117"/>
      <c r="E197" s="41" t="s">
        <v>35</v>
      </c>
      <c r="F197" s="60"/>
      <c r="G197" s="80"/>
      <c r="H197" s="79"/>
    </row>
    <row r="198" spans="1:8" ht="17" thickBot="1" x14ac:dyDescent="0.2">
      <c r="A198" s="135"/>
      <c r="B198" s="136"/>
      <c r="C198" s="136"/>
      <c r="D198" s="136"/>
      <c r="E198" s="136"/>
      <c r="F198" s="136"/>
      <c r="G198" s="80"/>
      <c r="H198" s="79"/>
    </row>
    <row r="199" spans="1:8" ht="35" thickBot="1" x14ac:dyDescent="0.2">
      <c r="A199" s="89"/>
      <c r="B199" s="90" t="s">
        <v>212</v>
      </c>
      <c r="C199" s="137" t="s">
        <v>213</v>
      </c>
      <c r="D199" s="138"/>
      <c r="E199" s="91" t="s">
        <v>214</v>
      </c>
      <c r="F199" s="92"/>
      <c r="G199" s="93" t="s">
        <v>215</v>
      </c>
      <c r="H199" s="94" t="e">
        <f>SUM(H29:H138)</f>
        <v>#VALUE!</v>
      </c>
    </row>
    <row r="200" spans="1:8" x14ac:dyDescent="0.15">
      <c r="A200" s="95"/>
      <c r="B200" s="95"/>
      <c r="C200" s="95"/>
      <c r="D200" s="95"/>
      <c r="E200" s="95"/>
      <c r="F200" s="95"/>
    </row>
  </sheetData>
  <mergeCells count="37">
    <mergeCell ref="A197:B197"/>
    <mergeCell ref="C197:D197"/>
    <mergeCell ref="A198:F198"/>
    <mergeCell ref="C199:D199"/>
    <mergeCell ref="A141:B141"/>
    <mergeCell ref="C141:D141"/>
    <mergeCell ref="A161:B161"/>
    <mergeCell ref="C161:D161"/>
    <mergeCell ref="A186:B186"/>
    <mergeCell ref="C186:D186"/>
    <mergeCell ref="A106:B106"/>
    <mergeCell ref="C106:D106"/>
    <mergeCell ref="A115:B115"/>
    <mergeCell ref="C115:D115"/>
    <mergeCell ref="A126:B126"/>
    <mergeCell ref="C126:D126"/>
    <mergeCell ref="A89:B89"/>
    <mergeCell ref="C89:D89"/>
    <mergeCell ref="A90:B90"/>
    <mergeCell ref="C90:D90"/>
    <mergeCell ref="A95:B95"/>
    <mergeCell ref="C95:D95"/>
    <mergeCell ref="A72:B72"/>
    <mergeCell ref="C72:D72"/>
    <mergeCell ref="A1:E1"/>
    <mergeCell ref="F1:F8"/>
    <mergeCell ref="B2:E2"/>
    <mergeCell ref="B3:E3"/>
    <mergeCell ref="B4:E4"/>
    <mergeCell ref="B5:E5"/>
    <mergeCell ref="D6:E6"/>
    <mergeCell ref="A7:A8"/>
    <mergeCell ref="A9:F9"/>
    <mergeCell ref="A28:B28"/>
    <mergeCell ref="C28:D28"/>
    <mergeCell ref="A65:B65"/>
    <mergeCell ref="C65:D65"/>
  </mergeCells>
  <conditionalFormatting sqref="E31:G31 G32">
    <cfRule type="cellIs" priority="1" operator="greater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PREFABRİK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PC-10</dc:creator>
  <cp:lastModifiedBy>Lokman Sayım</cp:lastModifiedBy>
  <dcterms:created xsi:type="dcterms:W3CDTF">2015-06-05T18:19:34Z</dcterms:created>
  <dcterms:modified xsi:type="dcterms:W3CDTF">2025-08-21T10:21:48Z</dcterms:modified>
</cp:coreProperties>
</file>
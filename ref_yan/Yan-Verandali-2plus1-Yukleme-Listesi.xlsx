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32c52054245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ÜKLEME" sheetId="1" r:id="R8807efc6393d4029"/>
    <x:sheet xmlns:r="http://schemas.openxmlformats.org/officeDocument/2006/relationships" name="Blok Sayımı" sheetId="2" r:id="Raa9c13fbab9340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6">
    <x:font>
      <x:sz val="11"/>
      <x:name val="Carlito"/>
    </x:font>
    <x:font>
      <x:sz val="11"/>
      <x:color rgb="FF202A25"/>
      <x:name val="Arial"/>
    </x:font>
    <x:font>
      <x:b/>
      <x:sz val="16"/>
      <x:color rgb="FF243C22"/>
      <x:name val="Arial"/>
    </x:font>
    <x:font>
      <x:b/>
      <x:sz val="11"/>
      <x:color rgb="FFFFFFFF"/>
      <x:name val="Arial"/>
    </x:font>
    <x:font>
      <x:b/>
      <x:sz val="11"/>
      <x:color rgb="FF202A25"/>
      <x:name val="Arial"/>
    </x:font>
    <x:font>
      <x:b/>
      <x:sz val="16"/>
      <x:color rgb="FF202A25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C5E0B3"/>
      </x:patternFill>
    </x:fill>
    <x:fill>
      <x:patternFill patternType="solid">
        <x:fgColor rgb="FF548235"/>
      </x:patternFill>
    </x:fill>
    <x:fill>
      <x:patternFill patternType="solid">
        <x:fgColor rgb="FFE2EFDA"/>
      </x:patternFill>
    </x:fill>
    <x:fill>
      <x:patternFill patternType="solid">
        <x:fgColor rgb="FFF5F8F2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horizontal="right" vertical="center"/>
    </x:xf>
    <x:xf numFmtId="200" fontId="4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010e1523a74319" /><Relationship Type="http://schemas.openxmlformats.org/officeDocument/2006/relationships/theme" Target="/xl/theme/theme1.xml" Id="Rf8fde0c0b881450a" /><Relationship Type="http://schemas.openxmlformats.org/officeDocument/2006/relationships/sharedStrings" Target="/xl/sharedStrings.xml" Id="Rcb7261c45c8e435a" /><Relationship Type="http://schemas.openxmlformats.org/officeDocument/2006/relationships/worksheet" Target="/xl/worksheets/sheet1.xml" Id="R8807efc6393d4029" /><Relationship Type="http://schemas.openxmlformats.org/officeDocument/2006/relationships/worksheet" Target="/xl/worksheets/sheet2.xml" Id="Raa9c13fbab934033" /></Relationships>
</file>

<file path=xl/tables/table1.xml><?xml version="1.0" encoding="utf-8"?>
<x:table xmlns:x="http://schemas.openxmlformats.org/spreadsheetml/2006/main" id="1" name="BlokSayimi" displayName="BlokSayimi" ref="A5:G84" headerRowCount="1" totalsRowCount="0" totalsRowShown="0">
  <x:tableColumns count="7">
    <x:tableColumn id="1" name="Kod"/>
    <x:tableColumn id="2" name="AutoCAD blok adı"/>
    <x:tableColumn id="3" name="Nesne referansı"/>
    <x:tableColumn id="4" name="Adet"/>
    <x:tableColumn id="5" name="Merkez X (cm)"/>
    <x:tableColumn id="6" name="Merkez Y (cm)"/>
    <x:tableColumn id="7" name="Elem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922e015efa4142" /></Relationships>
</file>

<file path=xl/worksheets/sheet1.xml><?xml version="1.0" encoding="utf-8"?>
<x:worksheet xmlns:x="http://schemas.openxmlformats.org/spreadsheetml/2006/main">
  <x:sheetPr>
    <x:tabColor rgb="FF54823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" hidden="0" customWidth="1"/>
    <x:col min="2" max="2" width="9" hidden="0" customWidth="1"/>
    <x:col min="3" max="3" width="35" hidden="0" customWidth="1"/>
    <x:col min="4" max="4" width="27" hidden="0" customWidth="1"/>
    <x:col min="5" max="5" width="9" hidden="0" customWidth="1"/>
    <x:col min="6" max="6" width="10" hidden="0" customWidth="1"/>
    <x:col min="7" max="7" width="65" hidden="0" customWidth="1"/>
  </x:cols>
  <x:sheetData>
    <x:row r="1">
      <x:c r="A1" s="4" t="str">
        <x:v>PREFABRİK BİNA MALZEMELERİ</x:v>
      </x:c>
      <x:c r="B1" s="4"/>
      <x:c r="C1" s="4"/>
      <x:c r="D1" s="4"/>
      <x:c r="E1" s="4" t="str">
        <x:v>YÜKLEME LİSTESİ</x:v>
      </x:c>
      <x:c r="F1" s="4"/>
      <x:c r="G1" s="4"/>
    </x:row>
    <x:row r="2">
      <x:c r="A2" s="4"/>
      <x:c r="B2" s="4"/>
      <x:c r="C2" s="4"/>
      <x:c r="D2" s="4"/>
      <x:c r="E2" s="4"/>
      <x:c r="F2" s="4"/>
      <x:c r="G2" s="4"/>
    </x:row>
    <x:row r="3" ht="24" customHeight="1">
      <x:c r="A3" s="2" t="str">
        <x:v>Yan verandalı 2+1 / 6×8,5 modül / 773 × 1076,75 cm / Duvar yüksekliği 250 cm</x:v>
      </x:c>
      <x:c r="B3" s="2"/>
      <x:c r="C3" s="2"/>
      <x:c r="D3" s="2"/>
      <x:c r="E3" s="2"/>
      <x:c r="F3" s="2"/>
      <x:c r="G3" s="2"/>
    </x:row>
    <x:row r="4" ht="24" customHeight="1">
      <x:c r="A4" s="2" t="str">
        <x:v>07.09.2026 — Tek bina. Kapılı ve pencereli panolar tek pano; doğramalar ayrıca sayılır.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>
      <x:c r="A6" s="7" t="str">
        <x:v>Sıra</x:v>
      </x:c>
      <x:c r="B6" s="7" t="str">
        <x:v>Kod</x:v>
      </x:c>
      <x:c r="C6" s="7" t="str">
        <x:v>Malzeme</x:v>
      </x:c>
      <x:c r="D6" s="7" t="str">
        <x:v>Ölçü (mm)</x:v>
      </x:c>
      <x:c r="E6" s="7" t="str">
        <x:v>Adet</x:v>
      </x:c>
      <x:c r="F6" s="7" t="str">
        <x:v>Birim</x:v>
      </x:c>
      <x:c r="G6" s="7" t="str">
        <x:v>Açıklama</x:v>
      </x:c>
    </x:row>
    <x:row r="7" ht="26" customHeight="1">
      <x:c r="A7" s="14" t="str">
        <x:v>Dış duvar panoları</x:v>
      </x:c>
      <x:c r="B7" s="14"/>
      <x:c r="C7" s="9"/>
      <x:c r="D7" s="17"/>
      <x:c r="E7" s="20"/>
      <x:c r="F7" s="9"/>
      <x:c r="G7" s="9"/>
    </x:row>
    <x:row r="8" ht="32" customHeight="1">
      <x:c r="A8" s="15" t="n">
        <x:v>1</x:v>
      </x:c>
      <x:c r="B8" s="15" t="str">
        <x:v>D01</x:v>
      </x:c>
      <x:c r="C8" s="2" t="str">
        <x:v>Dolu pano</x:v>
      </x:c>
      <x:c r="D8" s="18" t="str">
        <x:v>1255 × 100 × 2500</x:v>
      </x:c>
      <x:c r="E8" s="21" t="n">
        <x:f>SUMIFS('Blok Sayımı'!$D$6:$D$84,'Blok Sayımı'!$A$6:$A$84,B8)</x:f>
        <x:v>19</x:v>
      </x:c>
      <x:c r="F8" s="2" t="str">
        <x:v>adet</x:v>
      </x:c>
      <x:c r="G8" s="10" t="str"/>
    </x:row>
    <x:row r="9" ht="32" customHeight="1">
      <x:c r="A9" s="16" t="n">
        <x:v>2</x:v>
      </x:c>
      <x:c r="B9" s="16" t="str">
        <x:v>D02</x:v>
      </x:c>
      <x:c r="C9" s="11" t="str">
        <x:v>120×120 pencereli pano</x:v>
      </x:c>
      <x:c r="D9" s="19" t="str">
        <x:v>1255 × 100 × 2500</x:v>
      </x:c>
      <x:c r="E9" s="22" t="n">
        <x:f>SUMIFS('Blok Sayımı'!$D$6:$D$84,'Blok Sayımı'!$A$6:$A$84,B9)</x:f>
        <x:v>4</x:v>
      </x:c>
      <x:c r="F9" s="11" t="str">
        <x:v>adet</x:v>
      </x:c>
      <x:c r="G9" s="12" t="str">
        <x:v>Pencere ayrı kalem; pano tek parça sayıldı.</x:v>
      </x:c>
    </x:row>
    <x:row r="10" ht="32" customHeight="1">
      <x:c r="A10" s="15" t="n">
        <x:v>3</x:v>
      </x:c>
      <x:c r="B10" s="15" t="str">
        <x:v>D03</x:v>
      </x:c>
      <x:c r="C10" s="2" t="str">
        <x:v>120×180 pencereli pano</x:v>
      </x:c>
      <x:c r="D10" s="18" t="str">
        <x:v>1255 × 100 × 2500</x:v>
      </x:c>
      <x:c r="E10" s="21" t="n">
        <x:f>SUMIFS('Blok Sayımı'!$D$6:$D$84,'Blok Sayımı'!$A$6:$A$84,B10)</x:f>
        <x:v>2</x:v>
      </x:c>
      <x:c r="F10" s="2" t="str">
        <x:v>adet</x:v>
      </x:c>
      <x:c r="G10" s="10" t="str">
        <x:v>Pencere ayrı kalem; pano tek parça sayıldı.</x:v>
      </x:c>
    </x:row>
    <x:row r="11" ht="32" customHeight="1">
      <x:c r="A11" s="16" t="n">
        <x:v>4</x:v>
      </x:c>
      <x:c r="B11" s="16" t="str">
        <x:v>D04</x:v>
      </x:c>
      <x:c r="C11" s="11" t="str">
        <x:v>60×40 vasistaslı pano</x:v>
      </x:c>
      <x:c r="D11" s="19" t="str">
        <x:v>1255 × 100 × 2500</x:v>
      </x:c>
      <x:c r="E11" s="22" t="n">
        <x:f>SUMIFS('Blok Sayımı'!$D$6:$D$84,'Blok Sayımı'!$A$6:$A$84,B11)</x:f>
        <x:v>1</x:v>
      </x:c>
      <x:c r="F11" s="11" t="str">
        <x:v>adet</x:v>
      </x:c>
      <x:c r="G11" s="12" t="str">
        <x:v>Pencere ayrı kalem; pano tek parça sayıldı.</x:v>
      </x:c>
    </x:row>
    <x:row r="12" ht="32" customHeight="1">
      <x:c r="A12" s="15" t="n">
        <x:v>5</x:v>
      </x:c>
      <x:c r="B12" s="15" t="str">
        <x:v>D06</x:v>
      </x:c>
      <x:c r="C12" s="2" t="str">
        <x:v>Özel dolu pano</x:v>
      </x:c>
      <x:c r="D12" s="18" t="str">
        <x:v>627,5 × 100 × 2500</x:v>
      </x:c>
      <x:c r="E12" s="21" t="n">
        <x:f>SUMIFS('Blok Sayımı'!$D$6:$D$84,'Blok Sayımı'!$A$6:$A$84,B12)</x:f>
        <x:v>2</x:v>
      </x:c>
      <x:c r="F12" s="2" t="str">
        <x:v>adet</x:v>
      </x:c>
      <x:c r="G12" s="10" t="str"/>
    </x:row>
    <x:row r="13" ht="32" customHeight="1">
      <x:c r="A13" s="16" t="n">
        <x:v>6</x:v>
      </x:c>
      <x:c r="B13" s="16" t="str">
        <x:v>D07</x:v>
      </x:c>
      <x:c r="C13" s="11" t="str">
        <x:v>Dış kapılı özel pano</x:v>
      </x:c>
      <x:c r="D13" s="19" t="str">
        <x:v>1205 × 100 × 2500</x:v>
      </x:c>
      <x:c r="E13" s="22" t="n">
        <x:f>SUMIFS('Blok Sayımı'!$D$6:$D$84,'Blok Sayımı'!$A$6:$A$84,B13)</x:f>
        <x:v>1</x:v>
      </x:c>
      <x:c r="F13" s="11" t="str">
        <x:v>adet</x:v>
      </x:c>
      <x:c r="G13" s="12" t="str">
        <x:v>Doğrama ayrıca sayılır; pano tek adet.</x:v>
      </x:c>
    </x:row>
    <x:row r="14" ht="32" customHeight="1">
      <x:c r="A14" s="15" t="n">
        <x:v>7</x:v>
      </x:c>
      <x:c r="B14" s="15" t="str">
        <x:v>D08</x:v>
      </x:c>
      <x:c r="C14" s="2" t="str">
        <x:v>Özel dolu pano</x:v>
      </x:c>
      <x:c r="D14" s="18" t="str">
        <x:v>1205 × 100 × 2500</x:v>
      </x:c>
      <x:c r="E14" s="21" t="n">
        <x:f>SUMIFS('Blok Sayımı'!$D$6:$D$84,'Blok Sayımı'!$A$6:$A$84,B14)</x:f>
        <x:v>1</x:v>
      </x:c>
      <x:c r="F14" s="2" t="str">
        <x:v>adet</x:v>
      </x:c>
      <x:c r="G14" s="10" t="str"/>
    </x:row>
    <x:row r="15" ht="26" customHeight="1">
      <x:c r="A15" s="14" t="str">
        <x:v>İç duvar panoları</x:v>
      </x:c>
      <x:c r="B15" s="14"/>
      <x:c r="C15" s="9"/>
      <x:c r="D15" s="17"/>
      <x:c r="E15" s="20"/>
      <x:c r="F15" s="9"/>
      <x:c r="G15" s="9"/>
    </x:row>
    <x:row r="16" ht="32" customHeight="1">
      <x:c r="A16" s="16" t="n">
        <x:v>8</x:v>
      </x:c>
      <x:c r="B16" s="16" t="str">
        <x:v>I01</x:v>
      </x:c>
      <x:c r="C16" s="11" t="str">
        <x:v>Dolu pano</x:v>
      </x:c>
      <x:c r="D16" s="19" t="str">
        <x:v>1255 × 60 × 2500</x:v>
      </x:c>
      <x:c r="E16" s="22" t="n">
        <x:f>SUMIFS('Blok Sayımı'!$D$6:$D$84,'Blok Sayımı'!$A$6:$A$84,B16)</x:f>
        <x:v>8</x:v>
      </x:c>
      <x:c r="F16" s="11" t="str">
        <x:v>adet</x:v>
      </x:c>
      <x:c r="G16" s="12" t="str"/>
    </x:row>
    <x:row r="17" ht="32" customHeight="1">
      <x:c r="A17" s="15" t="n">
        <x:v>9</x:v>
      </x:c>
      <x:c r="B17" s="15" t="str">
        <x:v>I02</x:v>
      </x:c>
      <x:c r="C17" s="2" t="str">
        <x:v>Özel dolu pano</x:v>
      </x:c>
      <x:c r="D17" s="18" t="str">
        <x:v>1205 × 60 × 2500</x:v>
      </x:c>
      <x:c r="E17" s="21" t="n">
        <x:f>SUMIFS('Blok Sayımı'!$D$6:$D$84,'Blok Sayımı'!$A$6:$A$84,B17)</x:f>
        <x:v>1</x:v>
      </x:c>
      <x:c r="F17" s="2" t="str">
        <x:v>adet</x:v>
      </x:c>
      <x:c r="G17" s="10" t="str"/>
    </x:row>
    <x:row r="18" ht="32" customHeight="1">
      <x:c r="A18" s="16" t="n">
        <x:v>10</x:v>
      </x:c>
      <x:c r="B18" s="16" t="str">
        <x:v>I04</x:v>
      </x:c>
      <x:c r="C18" s="11" t="str">
        <x:v>İç kapılı özel pano</x:v>
      </x:c>
      <x:c r="D18" s="19" t="str">
        <x:v>1225 × 60 × 2500</x:v>
      </x:c>
      <x:c r="E18" s="22" t="n">
        <x:f>SUMIFS('Blok Sayımı'!$D$6:$D$84,'Blok Sayımı'!$A$6:$A$84,B18)</x:f>
        <x:v>2</x:v>
      </x:c>
      <x:c r="F18" s="11" t="str">
        <x:v>adet</x:v>
      </x:c>
      <x:c r="G18" s="12" t="str">
        <x:v>Kapı açıklığı 820 mm; kapı ayrıca sayıldı.</x:v>
      </x:c>
    </x:row>
    <x:row r="19" ht="32" customHeight="1">
      <x:c r="A19" s="15" t="n">
        <x:v>11</x:v>
      </x:c>
      <x:c r="B19" s="15" t="str">
        <x:v>I06</x:v>
      </x:c>
      <x:c r="C19" s="2" t="str">
        <x:v>Özel dolu pano</x:v>
      </x:c>
      <x:c r="D19" s="18" t="str">
        <x:v>627,5 × 60 × 2500</x:v>
      </x:c>
      <x:c r="E19" s="21" t="n">
        <x:f>SUMIFS('Blok Sayımı'!$D$6:$D$84,'Blok Sayımı'!$A$6:$A$84,B19)</x:f>
        <x:v>4</x:v>
      </x:c>
      <x:c r="F19" s="2" t="str">
        <x:v>adet</x:v>
      </x:c>
      <x:c r="G19" s="10" t="str"/>
    </x:row>
    <x:row r="20" ht="32" customHeight="1">
      <x:c r="A20" s="16" t="n">
        <x:v>12</x:v>
      </x:c>
      <x:c r="B20" s="16" t="str">
        <x:v>I07</x:v>
      </x:c>
      <x:c r="C20" s="11" t="str">
        <x:v>Özel dolu pano</x:v>
      </x:c>
      <x:c r="D20" s="19" t="str">
        <x:v>1225 × 60 × 2500</x:v>
      </x:c>
      <x:c r="E20" s="22" t="n">
        <x:f>SUMIFS('Blok Sayımı'!$D$6:$D$84,'Blok Sayımı'!$A$6:$A$84,B20)</x:f>
        <x:v>3</x:v>
      </x:c>
      <x:c r="F20" s="11" t="str">
        <x:v>adet</x:v>
      </x:c>
      <x:c r="G20" s="12" t="str"/>
    </x:row>
    <x:row r="21" ht="32" customHeight="1">
      <x:c r="A21" s="15" t="n">
        <x:v>13</x:v>
      </x:c>
      <x:c r="B21" s="15" t="str">
        <x:v>I09</x:v>
      </x:c>
      <x:c r="C21" s="2" t="str">
        <x:v>Özel dolu pano</x:v>
      </x:c>
      <x:c r="D21" s="18" t="str">
        <x:v>577,5 × 60 × 2500</x:v>
      </x:c>
      <x:c r="E21" s="21" t="n">
        <x:f>SUMIFS('Blok Sayımı'!$D$6:$D$84,'Blok Sayımı'!$A$6:$A$84,B21)</x:f>
        <x:v>1</x:v>
      </x:c>
      <x:c r="F21" s="2" t="str">
        <x:v>adet</x:v>
      </x:c>
      <x:c r="G21" s="10" t="str"/>
    </x:row>
    <x:row r="22" ht="42" customHeight="1">
      <x:c r="A22" s="16" t="n">
        <x:v>14</x:v>
      </x:c>
      <x:c r="B22" s="16" t="str">
        <x:v>I10</x:v>
      </x:c>
      <x:c r="C22" s="11" t="str">
        <x:v>Kapısız geçişli pano</x:v>
      </x:c>
      <x:c r="D22" s="19" t="str">
        <x:v>1255 × 60 × 2500</x:v>
      </x:c>
      <x:c r="E22" s="22" t="n">
        <x:f>SUMIFS('Blok Sayımı'!$D$6:$D$84,'Blok Sayımı'!$A$6:$A$84,B22)</x:f>
        <x:v>1</x:v>
      </x:c>
      <x:c r="F22" s="11" t="str">
        <x:v>adet</x:v>
      </x:c>
      <x:c r="G22" s="13" t="str">
        <x:v>820 mm kapısız geçiş; açıklık yüksekliği üretim için tanımlanmalı.</x:v>
      </x:c>
    </x:row>
    <x:row r="23" ht="32" customHeight="1">
      <x:c r="A23" s="15" t="n">
        <x:v>15</x:v>
      </x:c>
      <x:c r="B23" s="15" t="str">
        <x:v>I11</x:v>
      </x:c>
      <x:c r="C23" s="2" t="str">
        <x:v>İç kapılı pano</x:v>
      </x:c>
      <x:c r="D23" s="18" t="str">
        <x:v>1255 × 60 × 2500</x:v>
      </x:c>
      <x:c r="E23" s="21" t="n">
        <x:f>SUMIFS('Blok Sayımı'!$D$6:$D$84,'Blok Sayımı'!$A$6:$A$84,B23)</x:f>
        <x:v>2</x:v>
      </x:c>
      <x:c r="F23" s="2" t="str">
        <x:v>adet</x:v>
      </x:c>
      <x:c r="G23" s="10" t="str">
        <x:v>Doğrama ayrıca sayılır; pano tek adet.</x:v>
      </x:c>
    </x:row>
    <x:row r="24" ht="26" customHeight="1">
      <x:c r="A24" s="14" t="str">
        <x:v>Kapı ve pencereler</x:v>
      </x:c>
      <x:c r="B24" s="14"/>
      <x:c r="C24" s="9"/>
      <x:c r="D24" s="17"/>
      <x:c r="E24" s="20"/>
      <x:c r="F24" s="9"/>
      <x:c r="G24" s="9"/>
    </x:row>
    <x:row r="25" ht="42" customHeight="1">
      <x:c r="A25" s="16" t="n">
        <x:v>16</x:v>
      </x:c>
      <x:c r="B25" s="16" t="str">
        <x:v>K01</x:v>
      </x:c>
      <x:c r="C25" s="11" t="str">
        <x:v>İç kapı</x:v>
      </x:c>
      <x:c r="D25" s="19" t="str">
        <x:v>Açıklık 820</x:v>
      </x:c>
      <x:c r="E25" s="22" t="n">
        <x:f>SUMIFS('Blok Sayımı'!$D$6:$D$84,'Blok Sayımı'!$A$6:$A$84,B25)</x:f>
        <x:v>4</x:v>
      </x:c>
      <x:c r="F25" s="11" t="str">
        <x:v>adet</x:v>
      </x:c>
      <x:c r="G25" s="13" t="str">
        <x:v>820 mm plandaki açıklıktır; ürün eni/boyu ve açılış yönü siparişte teyit edilmeli.</x:v>
      </x:c>
    </x:row>
    <x:row r="26" ht="42" customHeight="1">
      <x:c r="A26" s="15" t="n">
        <x:v>17</x:v>
      </x:c>
      <x:c r="B26" s="15" t="str">
        <x:v>K02</x:v>
      </x:c>
      <x:c r="C26" s="2" t="str">
        <x:v>Dış kapı</x:v>
      </x:c>
      <x:c r="D26" s="18" t="str">
        <x:v>Açıklık 970</x:v>
      </x:c>
      <x:c r="E26" s="21" t="n">
        <x:f>SUMIFS('Blok Sayımı'!$D$6:$D$84,'Blok Sayımı'!$A$6:$A$84,B26)</x:f>
        <x:v>1</x:v>
      </x:c>
      <x:c r="F26" s="2" t="str">
        <x:v>adet</x:v>
      </x:c>
      <x:c r="G26" s="13" t="str">
        <x:v>970 mm plandaki açıklıktır; ürün eni/boyu siparişte teyit edilmeli.</x:v>
      </x:c>
    </x:row>
    <x:row r="27" ht="32" customHeight="1">
      <x:c r="A27" s="16" t="n">
        <x:v>18</x:v>
      </x:c>
      <x:c r="B27" s="16" t="str">
        <x:v>P01</x:v>
      </x:c>
      <x:c r="C27" s="11" t="str">
        <x:v>Pencere 120×120</x:v>
      </x:c>
      <x:c r="D27" s="19" t="str">
        <x:v>1200 × 1200</x:v>
      </x:c>
      <x:c r="E27" s="22" t="n">
        <x:f>SUMIFS('Blok Sayımı'!$D$6:$D$84,'Blok Sayımı'!$A$6:$A$84,B27)</x:f>
        <x:v>4</x:v>
      </x:c>
      <x:c r="F27" s="11" t="str">
        <x:v>adet</x:v>
      </x:c>
      <x:c r="G27" s="12" t="str">
        <x:v>Ölçü en × yükseklik; eşik 800 mm.</x:v>
      </x:c>
    </x:row>
    <x:row r="28" ht="32" customHeight="1">
      <x:c r="A28" s="15" t="n">
        <x:v>19</x:v>
      </x:c>
      <x:c r="B28" s="15" t="str">
        <x:v>P02</x:v>
      </x:c>
      <x:c r="C28" s="2" t="str">
        <x:v>Pencere 120×180</x:v>
      </x:c>
      <x:c r="D28" s="18" t="str">
        <x:v>1200 × 1800</x:v>
      </x:c>
      <x:c r="E28" s="21" t="n">
        <x:f>SUMIFS('Blok Sayımı'!$D$6:$D$84,'Blok Sayımı'!$A$6:$A$84,B28)</x:f>
        <x:v>2</x:v>
      </x:c>
      <x:c r="F28" s="2" t="str">
        <x:v>adet</x:v>
      </x:c>
      <x:c r="G28" s="10" t="str">
        <x:v>Ölçü en × yükseklik; eşik 200 mm.</x:v>
      </x:c>
    </x:row>
    <x:row r="29" ht="32" customHeight="1">
      <x:c r="A29" s="16" t="n">
        <x:v>20</x:v>
      </x:c>
      <x:c r="B29" s="16" t="str">
        <x:v>P03</x:v>
      </x:c>
      <x:c r="C29" s="11" t="str">
        <x:v>Vasistas 60×40</x:v>
      </x:c>
      <x:c r="D29" s="19" t="str">
        <x:v>600 × 400</x:v>
      </x:c>
      <x:c r="E29" s="22" t="n">
        <x:f>SUMIFS('Blok Sayımı'!$D$6:$D$84,'Blok Sayımı'!$A$6:$A$84,B29)</x:f>
        <x:v>1</x:v>
      </x:c>
      <x:c r="F29" s="11" t="str">
        <x:v>adet</x:v>
      </x:c>
      <x:c r="G29" s="12" t="str">
        <x:v>Ölçü en × yükseklik; eşik 1600 mm.</x:v>
      </x:c>
    </x:row>
    <x:row r="30" ht="26" customHeight="1">
      <x:c r="A30" s="14" t="str">
        <x:v>Bağlantı ve veranda</x:v>
      </x:c>
      <x:c r="B30" s="14"/>
      <x:c r="C30" s="9"/>
      <x:c r="D30" s="17"/>
      <x:c r="E30" s="20"/>
      <x:c r="F30" s="9"/>
      <x:c r="G30" s="9"/>
    </x:row>
    <x:row r="31" ht="32" customHeight="1">
      <x:c r="A31" s="15" t="n">
        <x:v>21</x:v>
      </x:c>
      <x:c r="B31" s="15" t="str">
        <x:v>B01</x:v>
      </x:c>
      <x:c r="C31" s="2" t="str">
        <x:v>İç köşe bağlantısı</x:v>
      </x:c>
      <x:c r="D31" s="18" t="str">
        <x:v>30 × 60</x:v>
      </x:c>
      <x:c r="E31" s="21" t="n">
        <x:f>SUMIFS('Blok Sayımı'!$D$6:$D$84,'Blok Sayımı'!$A$6:$A$84,B31)</x:f>
        <x:v>1</x:v>
      </x:c>
      <x:c r="F31" s="2" t="str">
        <x:v>adet</x:v>
      </x:c>
      <x:c r="G31" s="13" t="str">
        <x:v>Plandaki kesit. Profil türü ve kesim boyu tanımlı değil.</x:v>
      </x:c>
    </x:row>
    <x:row r="32" ht="42" customHeight="1">
      <x:c r="A32" s="16" t="n">
        <x:v>22</x:v>
      </x:c>
      <x:c r="B32" s="16" t="str">
        <x:v>B02</x:v>
      </x:c>
      <x:c r="C32" s="11" t="str">
        <x:v>100×50 köşe bağlantısı</x:v>
      </x:c>
      <x:c r="D32" s="19" t="str">
        <x:v>50 × 100</x:v>
      </x:c>
      <x:c r="E32" s="22" t="n">
        <x:f>SUMIFS('Blok Sayımı'!$D$6:$D$84,'Blok Sayımı'!$A$6:$A$84,B32)</x:f>
        <x:v>6</x:v>
      </x:c>
      <x:c r="F32" s="11" t="str">
        <x:v>adet</x:v>
      </x:c>
      <x:c r="G32" s="13" t="str">
        <x:v>5 dış köşe + 1 veranda iç köşesi. Profil kesim boyu tanımlı değil.</x:v>
      </x:c>
    </x:row>
    <x:row r="33" ht="32" customHeight="1">
      <x:c r="A33" s="15" t="n">
        <x:v>23</x:v>
      </x:c>
      <x:c r="B33" s="15" t="str">
        <x:v>B03</x:v>
      </x:c>
      <x:c r="C33" s="2" t="str">
        <x:v>Üçlü H bağlantı</x:v>
      </x:c>
      <x:c r="D33" s="18" t="str">
        <x:v>60</x:v>
      </x:c>
      <x:c r="E33" s="21" t="n">
        <x:f>SUMIFS('Blok Sayımı'!$D$6:$D$84,'Blok Sayımı'!$A$6:$A$84,B33)</x:f>
        <x:v>4</x:v>
      </x:c>
      <x:c r="F33" s="2" t="str">
        <x:v>adet</x:v>
      </x:c>
      <x:c r="G33" s="13" t="str">
        <x:v>60 mm iç duvar bağlantısı; kesim boyu tanımlı değil.</x:v>
      </x:c>
    </x:row>
    <x:row r="34" ht="32" customHeight="1">
      <x:c r="A34" s="16" t="n">
        <x:v>24</x:v>
      </x:c>
      <x:c r="B34" s="16" t="str">
        <x:v>B04</x:v>
      </x:c>
      <x:c r="C34" s="11" t="str">
        <x:v>Veranda dikmesi</x:v>
      </x:c>
      <x:c r="D34" s="19" t="str">
        <x:v>100 × 100</x:v>
      </x:c>
      <x:c r="E34" s="22" t="n">
        <x:f>SUMIFS('Blok Sayımı'!$D$6:$D$84,'Blok Sayımı'!$A$6:$A$84,B34)</x:f>
        <x:v>2</x:v>
      </x:c>
      <x:c r="F34" s="11" t="str">
        <x:v>adet</x:v>
      </x:c>
      <x:c r="G34" s="13" t="str">
        <x:v>Şematik plan izi 100×100 mm; profil ürünü ve boyu teyit edilmeli.</x:v>
      </x:c>
    </x:row>
    <x:row r="35" ht="32" customHeight="1">
      <x:c r="A35" s="15" t="n">
        <x:v>25</x:v>
      </x:c>
      <x:c r="B35" s="15" t="str">
        <x:v>V03</x:v>
      </x:c>
      <x:c r="C35" s="2" t="str">
        <x:v>Veranda yan profil gösterimi</x:v>
      </x:c>
      <x:c r="D35" s="18" t="str">
        <x:v>5020 × 100</x:v>
      </x:c>
      <x:c r="E35" s="21" t="n">
        <x:f>SUMIFS('Blok Sayımı'!$D$6:$D$84,'Blok Sayımı'!$A$6:$A$84,B35)</x:f>
        <x:v>1</x:v>
      </x:c>
      <x:c r="F35" s="2" t="str">
        <x:v>adet</x:v>
      </x:c>
      <x:c r="G35" s="13" t="str">
        <x:v>Dış sınır boyu; gerçek profil kesiti/kesim boyu teyit edilmeli.</x:v>
      </x:c>
    </x:row>
    <x:row r="36" ht="32" customHeight="1">
      <x:c r="A36" s="16" t="n">
        <x:v>26</x:v>
      </x:c>
      <x:c r="B36" s="16" t="str">
        <x:v>V04</x:v>
      </x:c>
      <x:c r="C36" s="11" t="str">
        <x:v>Veranda ön profil gösterimi</x:v>
      </x:c>
      <x:c r="D36" s="19" t="str">
        <x:v>1255 × 100</x:v>
      </x:c>
      <x:c r="E36" s="22" t="n">
        <x:f>SUMIFS('Blok Sayımı'!$D$6:$D$84,'Blok Sayımı'!$A$6:$A$84,B36)</x:f>
        <x:v>1</x:v>
      </x:c>
      <x:c r="F36" s="11" t="str">
        <x:v>adet</x:v>
      </x:c>
      <x:c r="G36" s="13" t="str">
        <x:v>Dış sınır boyu; gerçek profil kesiti/kesim boyu teyit edilmeli.</x:v>
      </x:c>
    </x:row>
    <x:row r="37">
      <x:c r="A37" s="2"/>
      <x:c r="B37" s="2"/>
      <x:c r="C37" s="2"/>
      <x:c r="D37" s="2"/>
      <x:c r="E37" s="2"/>
      <x:c r="F37" s="2"/>
      <x:c r="G37" s="2"/>
    </x:row>
    <x:row r="38" ht="28" customHeight="1">
      <x:c r="A38" s="23" t="str">
        <x:v>TOPLAM DUVAR PANOSU</x:v>
      </x:c>
      <x:c r="B38" s="23"/>
      <x:c r="C38" s="23"/>
      <x:c r="D38" s="23"/>
      <x:c r="E38" s="23" t="n">
        <x:f>SUM(E8,E9,E10,E11,E12,E13,E14,E16,E17,E18,E19,E20,E21,E22,E23)</x:f>
        <x:v>52</x:v>
      </x:c>
      <x:c r="F38" s="23" t="str">
        <x:v>adet</x:v>
      </x:c>
      <x:c r="G38" s="23"/>
    </x:row>
    <x:row r="39">
      <x:c r="A39" s="2"/>
      <x:c r="B39" s="2"/>
      <x:c r="C39" s="2"/>
      <x:c r="D39" s="2"/>
      <x:c r="E39" s="2"/>
      <x:c r="F39" s="2"/>
      <x:c r="G39" s="2"/>
    </x:row>
    <x:row r="40" ht="22" customHeight="1">
      <x:c r="A40" s="10" t="str">
        <x:v>Panel ölçüsü: uzunluk × kalınlık × yükseklik. Pencereler: en × yükseklik.</x:v>
      </x:c>
      <x:c r="B40" s="10"/>
      <x:c r="C40" s="10"/>
      <x:c r="D40" s="10"/>
      <x:c r="E40" s="10"/>
      <x:c r="F40" s="10"/>
      <x:c r="G40" s="10"/>
    </x:row>
    <x:row r="41" ht="22" customHeight="1">
      <x:c r="A41" s="10" t="str">
        <x:v>Sarı açıklamalı kalemlerde ürün/kesim ölçüsü eksiktir; belirtilen adetler plandaki gösterim sayısıdır.</x:v>
      </x:c>
      <x:c r="B41" s="10"/>
      <x:c r="C41" s="10"/>
      <x:c r="D41" s="10"/>
      <x:c r="E41" s="10"/>
      <x:c r="F41" s="10"/>
      <x:c r="G41" s="10"/>
    </x:row>
    <x:row r="42" ht="22" customHeight="1">
      <x:c r="A42" s="10" t="str">
        <x:v>Çatı makası üretim parçaları ve adetleri, çatı kaplaması, tesisat ve sarf malzemeleri çizimde tanımlı olmadığından listeye dahil edilmedi.</x:v>
      </x:c>
      <x:c r="B42" s="10"/>
      <x:c r="C42" s="10"/>
      <x:c r="D42" s="10"/>
      <x:c r="E42" s="10"/>
      <x:c r="F42" s="10"/>
      <x:c r="G42" s="10"/>
    </x:row>
    <x:row r="43" ht="22" customHeight="1">
      <x:c r="A43" s="10"/>
      <x:c r="B43" s="10"/>
      <x:c r="C43" s="10"/>
      <x:c r="D43" s="10"/>
      <x:c r="E43" s="10"/>
      <x:c r="F43" s="10"/>
      <x:c r="G43" s="10"/>
    </x:row>
    <x:row r="44">
      <x:c r="A44" s="2"/>
      <x:c r="B44" s="2"/>
      <x:c r="C44" s="2"/>
      <x:c r="D44" s="2"/>
      <x:c r="E44" s="2"/>
      <x:c r="F44" s="2"/>
      <x:c r="G44" s="2"/>
    </x:row>
    <x:row r="45">
      <x:c r="A45" s="2"/>
      <x:c r="B45" s="2"/>
      <x:c r="C45" s="2"/>
      <x:c r="D45" s="2"/>
      <x:c r="E45" s="2"/>
      <x:c r="F45" s="2"/>
      <x:c r="G45" s="2"/>
    </x:row>
    <x:row r="46">
      <x:c r="A46" s="2"/>
      <x:c r="B46" s="2"/>
      <x:c r="C46" s="2"/>
      <x:c r="D46" s="2"/>
      <x:c r="E46" s="2"/>
      <x:c r="F46" s="2"/>
      <x:c r="G46" s="2"/>
    </x:row>
    <x:row r="47">
      <x:c r="A47" s="2"/>
      <x:c r="B47" s="2"/>
      <x:c r="C47" s="2"/>
      <x:c r="D47" s="2"/>
      <x:c r="E47" s="2"/>
      <x:c r="F47" s="2"/>
      <x:c r="G47" s="2"/>
    </x:row>
    <x:row r="48">
      <x:c r="A48" s="2"/>
      <x:c r="B48" s="2"/>
      <x:c r="C48" s="2"/>
      <x:c r="D48" s="2"/>
      <x:c r="E48" s="2"/>
      <x:c r="F48" s="2"/>
      <x:c r="G48" s="2"/>
    </x:row>
    <x:row r="49">
      <x:c r="A49" s="2"/>
      <x:c r="B49" s="2"/>
      <x:c r="C49" s="2"/>
      <x:c r="D49" s="2"/>
      <x:c r="E49" s="2"/>
      <x:c r="F49" s="2"/>
      <x:c r="G49" s="2"/>
    </x:row>
    <x:row r="50">
      <x:c r="A50" s="2"/>
      <x:c r="B50" s="2"/>
      <x:c r="C50" s="2"/>
      <x:c r="D50" s="2"/>
      <x:c r="E50" s="2"/>
      <x:c r="F50" s="2"/>
      <x:c r="G50" s="2"/>
    </x:row>
    <x:row r="51">
      <x:c r="A51" s="2"/>
      <x:c r="B51" s="2"/>
      <x:c r="C51" s="2"/>
      <x:c r="D51" s="2"/>
      <x:c r="E51" s="2"/>
      <x:c r="F51" s="2"/>
      <x:c r="G51" s="2"/>
    </x:row>
    <x:row r="52">
      <x:c r="A52" s="2"/>
      <x:c r="B52" s="2"/>
      <x:c r="C52" s="2"/>
      <x:c r="D52" s="2"/>
      <x:c r="E52" s="2"/>
      <x:c r="F52" s="2"/>
      <x:c r="G52" s="2"/>
    </x:row>
    <x:row r="53">
      <x:c r="A53" s="2"/>
      <x:c r="B53" s="2"/>
      <x:c r="C53" s="2"/>
      <x:c r="D53" s="2"/>
      <x:c r="E53" s="2"/>
      <x:c r="F53" s="2"/>
      <x:c r="G53" s="2"/>
    </x:row>
    <x:row r="54">
      <x:c r="A54" s="2"/>
      <x:c r="B54" s="2"/>
      <x:c r="C54" s="2"/>
      <x:c r="D54" s="2"/>
      <x:c r="E54" s="2"/>
      <x:c r="F54" s="2"/>
      <x:c r="G54" s="2"/>
    </x:row>
    <x:row r="55">
      <x:c r="A55" s="2"/>
      <x:c r="B55" s="2"/>
      <x:c r="C55" s="2"/>
      <x:c r="D55" s="2"/>
      <x:c r="E55" s="2"/>
      <x:c r="F55" s="2"/>
      <x:c r="G55" s="2"/>
    </x:row>
    <x:row r="56">
      <x:c r="A56" s="2"/>
      <x:c r="B56" s="2"/>
      <x:c r="C56" s="2"/>
      <x:c r="D56" s="2"/>
      <x:c r="E56" s="2"/>
      <x:c r="F56" s="2"/>
      <x:c r="G56" s="2"/>
    </x:row>
    <x:row r="57">
      <x:c r="A57" s="2"/>
      <x:c r="B57" s="2"/>
      <x:c r="C57" s="2"/>
      <x:c r="D57" s="2"/>
      <x:c r="E57" s="2"/>
      <x:c r="F57" s="2"/>
      <x:c r="G57" s="2"/>
    </x:row>
    <x:row r="58">
      <x:c r="A58" s="2"/>
      <x:c r="B58" s="2"/>
      <x:c r="C58" s="2"/>
      <x:c r="D58" s="2"/>
      <x:c r="E58" s="2"/>
      <x:c r="F58" s="2"/>
      <x:c r="G58" s="2"/>
    </x:row>
    <x:row r="59">
      <x:c r="A59" s="2"/>
      <x:c r="B59" s="2"/>
      <x:c r="C59" s="2"/>
      <x:c r="D59" s="2"/>
      <x:c r="E59" s="2"/>
      <x:c r="F59" s="2"/>
      <x:c r="G59" s="2"/>
    </x:row>
    <x:row r="60">
      <x:c r="A60" s="2"/>
      <x:c r="B60" s="2"/>
      <x:c r="C60" s="2"/>
      <x:c r="D60" s="2"/>
      <x:c r="E60" s="2"/>
      <x:c r="F60" s="2"/>
      <x:c r="G60" s="2"/>
    </x:row>
    <x:row r="61">
      <x:c r="A61" s="2"/>
      <x:c r="B61" s="2"/>
      <x:c r="C61" s="2"/>
      <x:c r="D61" s="2"/>
      <x:c r="E61" s="2"/>
      <x:c r="F61" s="2"/>
      <x:c r="G61" s="2"/>
    </x:row>
    <x:row r="62">
      <x:c r="A62" s="2"/>
      <x:c r="B62" s="2"/>
      <x:c r="C62" s="2"/>
      <x:c r="D62" s="2"/>
      <x:c r="E62" s="2"/>
      <x:c r="F62" s="2"/>
      <x:c r="G62" s="2"/>
    </x:row>
    <x:row r="63">
      <x:c r="A63" s="2"/>
      <x:c r="B63" s="2"/>
      <x:c r="C63" s="2"/>
      <x:c r="D63" s="2"/>
      <x:c r="E63" s="2"/>
      <x:c r="F63" s="2"/>
      <x:c r="G63" s="2"/>
    </x:row>
    <x:row r="64">
      <x:c r="A64" s="2"/>
      <x:c r="B64" s="2"/>
      <x:c r="C64" s="2"/>
      <x:c r="D64" s="2"/>
      <x:c r="E64" s="2"/>
      <x:c r="F64" s="2"/>
      <x:c r="G64" s="2"/>
    </x:row>
    <x:row r="65">
      <x:c r="A65" s="2"/>
      <x:c r="B65" s="2"/>
      <x:c r="C65" s="2"/>
      <x:c r="D65" s="2"/>
      <x:c r="E65" s="2"/>
      <x:c r="F65" s="2"/>
      <x:c r="G65" s="2"/>
    </x:row>
    <x:row r="66">
      <x:c r="A66" s="2"/>
      <x:c r="B66" s="2"/>
      <x:c r="C66" s="2"/>
      <x:c r="D66" s="2"/>
      <x:c r="E66" s="2"/>
      <x:c r="F66" s="2"/>
      <x:c r="G66" s="2"/>
    </x:row>
    <x:row r="67">
      <x:c r="A67" s="2"/>
      <x:c r="B67" s="2"/>
      <x:c r="C67" s="2"/>
      <x:c r="D67" s="2"/>
      <x:c r="E67" s="2"/>
      <x:c r="F67" s="2"/>
      <x:c r="G67" s="2"/>
    </x:row>
    <x:row r="68">
      <x:c r="A68" s="2"/>
      <x:c r="B68" s="2"/>
      <x:c r="C68" s="2"/>
      <x:c r="D68" s="2"/>
      <x:c r="E68" s="2"/>
      <x:c r="F68" s="2"/>
      <x:c r="G68" s="2"/>
    </x:row>
    <x:row r="69">
      <x:c r="A69" s="2"/>
      <x:c r="B69" s="2"/>
      <x:c r="C69" s="2"/>
      <x:c r="D69" s="2"/>
      <x:c r="E69" s="2"/>
      <x:c r="F69" s="2"/>
      <x:c r="G69" s="2"/>
    </x:row>
    <x:row r="70">
      <x:c r="A70" s="2"/>
      <x:c r="B70" s="2"/>
      <x:c r="C70" s="2"/>
      <x:c r="D70" s="2"/>
      <x:c r="E70" s="2"/>
      <x:c r="F70" s="2"/>
      <x:c r="G70" s="2"/>
    </x:row>
    <x:row r="71">
      <x:c r="A71" s="2"/>
      <x:c r="B71" s="2"/>
      <x:c r="C71" s="2"/>
      <x:c r="D71" s="2"/>
      <x:c r="E71" s="2"/>
      <x:c r="F71" s="2"/>
      <x:c r="G71" s="2"/>
    </x:row>
    <x:row r="72">
      <x:c r="A72" s="2"/>
      <x:c r="B72" s="2"/>
      <x:c r="C72" s="2"/>
      <x:c r="D72" s="2"/>
      <x:c r="E72" s="2"/>
      <x:c r="F72" s="2"/>
      <x:c r="G72" s="2"/>
    </x:row>
    <x:row r="73">
      <x:c r="A73" s="2"/>
      <x:c r="B73" s="2"/>
      <x:c r="C73" s="2"/>
      <x:c r="D73" s="2"/>
      <x:c r="E73" s="2"/>
      <x:c r="F73" s="2"/>
      <x:c r="G73" s="2"/>
    </x:row>
    <x:row r="74">
      <x:c r="A74" s="2"/>
      <x:c r="B74" s="2"/>
      <x:c r="C74" s="2"/>
      <x:c r="D74" s="2"/>
      <x:c r="E74" s="2"/>
      <x:c r="F74" s="2"/>
      <x:c r="G74" s="2"/>
    </x:row>
    <x:row r="75">
      <x:c r="A75" s="2"/>
      <x:c r="B75" s="2"/>
      <x:c r="C75" s="2"/>
      <x:c r="D75" s="2"/>
      <x:c r="E75" s="2"/>
      <x:c r="F75" s="2"/>
      <x:c r="G75" s="2"/>
    </x:row>
    <x:row r="76">
      <x:c r="A76" s="2"/>
      <x:c r="B76" s="2"/>
      <x:c r="C76" s="2"/>
      <x:c r="D76" s="2"/>
      <x:c r="E76" s="2"/>
      <x:c r="F76" s="2"/>
      <x:c r="G76" s="2"/>
    </x:row>
    <x:row r="77">
      <x:c r="A77" s="2"/>
      <x:c r="B77" s="2"/>
      <x:c r="C77" s="2"/>
      <x:c r="D77" s="2"/>
      <x:c r="E77" s="2"/>
      <x:c r="F77" s="2"/>
      <x:c r="G77" s="2"/>
    </x:row>
    <x:row r="78">
      <x:c r="A78" s="2"/>
      <x:c r="B78" s="2"/>
      <x:c r="C78" s="2"/>
      <x:c r="D78" s="2"/>
      <x:c r="E78" s="2"/>
      <x:c r="F78" s="2"/>
      <x:c r="G78" s="2"/>
    </x:row>
    <x:row r="79">
      <x:c r="A79" s="2"/>
      <x:c r="B79" s="2"/>
      <x:c r="C79" s="2"/>
      <x:c r="D79" s="2"/>
      <x:c r="E79" s="2"/>
      <x:c r="F79" s="2"/>
      <x:c r="G79" s="2"/>
    </x:row>
    <x:row r="80">
      <x:c r="A80" s="2"/>
      <x:c r="B80" s="2"/>
      <x:c r="C80" s="2"/>
      <x:c r="D80" s="2"/>
      <x:c r="E80" s="2"/>
      <x:c r="F80" s="2"/>
      <x:c r="G80" s="2"/>
    </x:row>
    <x:row r="81">
      <x:c r="A81" s="2"/>
      <x:c r="B81" s="2"/>
      <x:c r="C81" s="2"/>
      <x:c r="D81" s="2"/>
      <x:c r="E81" s="2"/>
      <x:c r="F81" s="2"/>
      <x:c r="G81" s="2"/>
    </x:row>
    <x:row r="82">
      <x:c r="A82" s="2"/>
      <x:c r="B82" s="2"/>
      <x:c r="C82" s="2"/>
      <x:c r="D82" s="2"/>
      <x:c r="E82" s="2"/>
      <x:c r="F82" s="2"/>
      <x:c r="G82" s="2"/>
    </x:row>
    <x:row r="83">
      <x:c r="A83" s="2"/>
      <x:c r="B83" s="2"/>
      <x:c r="C83" s="2"/>
      <x:c r="D83" s="2"/>
      <x:c r="E83" s="2"/>
      <x:c r="F83" s="2"/>
      <x:c r="G83" s="2"/>
    </x:row>
    <x:row r="84">
      <x:c r="A84" s="2"/>
      <x:c r="B84" s="2"/>
      <x:c r="C84" s="2"/>
      <x:c r="D84" s="2"/>
      <x:c r="E84" s="2"/>
      <x:c r="F84" s="2"/>
      <x:c r="G84" s="2"/>
    </x:row>
    <x:row r="85">
      <x:c r="A85" s="2"/>
      <x:c r="B85" s="2"/>
      <x:c r="C85" s="2"/>
      <x:c r="D85" s="2"/>
      <x:c r="E85" s="2"/>
      <x:c r="F85" s="2"/>
      <x:c r="G85" s="2"/>
    </x:row>
    <x:row r="86">
      <x:c r="A86" s="2"/>
      <x:c r="B86" s="2"/>
      <x:c r="C86" s="2"/>
      <x:c r="D86" s="2"/>
      <x:c r="E86" s="2"/>
      <x:c r="F86" s="2"/>
      <x:c r="G86" s="2"/>
    </x:row>
    <x:row r="87">
      <x:c r="A87" s="2"/>
      <x:c r="B87" s="2"/>
      <x:c r="C87" s="2"/>
      <x:c r="D87" s="2"/>
      <x:c r="E87" s="2"/>
      <x:c r="F87" s="2"/>
      <x:c r="G87" s="2"/>
    </x:row>
    <x:row r="88">
      <x:c r="A88" s="2"/>
      <x:c r="B88" s="2"/>
      <x:c r="C88" s="2"/>
      <x:c r="D88" s="2"/>
      <x:c r="E88" s="2"/>
      <x:c r="F88" s="2"/>
      <x:c r="G88" s="2"/>
    </x:row>
    <x:row r="89">
      <x:c r="A89" s="2"/>
      <x:c r="B89" s="2"/>
      <x:c r="C89" s="2"/>
      <x:c r="D89" s="2"/>
      <x:c r="E89" s="2"/>
      <x:c r="F89" s="2"/>
      <x:c r="G89" s="2"/>
    </x:row>
    <x:row r="90">
      <x:c r="A90" s="2"/>
      <x:c r="B90" s="2"/>
      <x:c r="C90" s="2"/>
      <x:c r="D90" s="2"/>
      <x:c r="E90" s="2"/>
      <x:c r="F90" s="2"/>
      <x:c r="G90" s="2"/>
    </x:row>
  </x:sheetData>
  <x:mergeCells>
    <x:mergeCell ref="A1:D2"/>
    <x:mergeCell ref="E1:G2"/>
    <x:mergeCell ref="A3:G3"/>
    <x:mergeCell ref="A4:G4"/>
    <x:mergeCell ref="A7:G7"/>
    <x:mergeCell ref="A15:G15"/>
    <x:mergeCell ref="A24:G24"/>
    <x:mergeCell ref="A30:G30"/>
    <x:mergeCell ref="A38:D38"/>
    <x:mergeCell ref="A40:G40"/>
    <x:mergeCell ref="A41:G41"/>
    <x:mergeCell ref="A42:G4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49" hidden="0" customWidth="1"/>
    <x:col min="3" max="3" width="20" hidden="0" customWidth="1"/>
    <x:col min="4" max="4" width="8" hidden="0" customWidth="1"/>
    <x:col min="5" max="5" width="15" hidden="0" customWidth="1"/>
    <x:col min="6" max="6" width="15" hidden="0" customWidth="1"/>
    <x:col min="7" max="7" width="30" hidden="0" customWidth="1"/>
  </x:cols>
  <x:sheetData>
    <x:row r="1" ht="32" customHeight="1">
      <x:c r="A1" s="24" t="str">
        <x:v>ÇİZİMDEN ALINAN BLOK SAYIMI</x:v>
      </x:c>
      <x:c r="B1" s="24"/>
      <x:c r="C1" s="24"/>
      <x:c r="D1" s="24"/>
      <x:c r="E1" s="24"/>
      <x:c r="F1" s="24"/>
      <x:c r="G1" s="24"/>
    </x:row>
    <x:row r="2" ht="24" customHeight="1">
      <x:c r="A2" s="2" t="str">
        <x:v>Kaynak: yeni-2plus1-yan-verandali.dwg, 07.09.2026. ANA kat planı; kopya ve görünüşler hariç.</x:v>
      </x:c>
      <x:c r="B2" s="2"/>
      <x:c r="C2" s="2"/>
      <x:c r="D2" s="2"/>
      <x:c r="E2" s="2"/>
      <x:c r="F2" s="2"/>
      <x:c r="G2" s="2"/>
    </x:row>
    <x:row r="3" ht="24" customHeight="1">
      <x:c r="A3" s="2" t="str">
        <x:v>Düzen örneği: UĞUR BAŞARIR 60 M2 YÜKLEME LİSTESİ.xlsx / YÜKLEME. Örneğin miktarları kullanılmadı.</x:v>
      </x:c>
      <x:c r="B3" s="2"/>
      <x:c r="C3" s="2"/>
      <x:c r="D3" s="2"/>
      <x:c r="E3" s="2"/>
      <x:c r="F3" s="2"/>
      <x:c r="G3" s="2"/>
    </x:row>
    <x:row r="4" ht="24" customHeight="1">
      <x:c r="A4" s="2" t="str">
        <x:v>Adetler bu sabit çizim sayımından toplanır. DWG değiştiğinde sayım yeniden alınmalıdır.</x:v>
      </x:c>
      <x:c r="B4" s="2"/>
      <x:c r="C4" s="2"/>
      <x:c r="D4" s="2"/>
      <x:c r="E4" s="2"/>
      <x:c r="F4" s="2"/>
      <x:c r="G4" s="2"/>
    </x:row>
    <x:row r="5">
      <x:c r="A5" s="6" t="str">
        <x:v>Kod</x:v>
      </x:c>
      <x:c r="B5" s="6" t="str">
        <x:v>AutoCAD blok adı</x:v>
      </x:c>
      <x:c r="C5" s="6" t="str">
        <x:v>Nesne referansı</x:v>
      </x:c>
      <x:c r="D5" s="6" t="str">
        <x:v>Adet</x:v>
      </x:c>
      <x:c r="E5" s="6" t="str">
        <x:v>Merkez X (cm)</x:v>
      </x:c>
      <x:c r="F5" s="6" t="str">
        <x:v>Merkez Y (cm)</x:v>
      </x:c>
      <x:c r="G5" s="6" t="str">
        <x:v>Eleman</x:v>
      </x:c>
    </x:row>
    <x:row r="6" ht="24" customHeight="1">
      <x:c r="A6" s="2" t="str">
        <x:v>B01</x:v>
      </x:c>
      <x:c r="B6" s="2" t="str">
        <x:v>BOM_B01_IC_KOSE_30x60</x:v>
      </x:c>
      <x:c r="C6" s="2" t="str">
        <x:v>2A7A</x:v>
      </x:c>
      <x:c r="D6" s="21" t="n">
        <x:v>1</x:v>
      </x:c>
      <x:c r="E6" s="25" t="n">
        <x:v>322.25</x:v>
      </x:c>
      <x:c r="F6" s="25" t="n">
        <x:v>507</x:v>
      </x:c>
      <x:c r="G6" s="2" t="str">
        <x:v>İç köşe bağlantısı</x:v>
      </x:c>
    </x:row>
    <x:row r="7" ht="24" customHeight="1">
      <x:c r="A7" s="2" t="str">
        <x:v>B02</x:v>
      </x:c>
      <x:c r="B7" s="2" t="str">
        <x:v>BOM_B02_DIS_KOSE_100x50</x:v>
      </x:c>
      <x:c r="C7" s="2" t="str">
        <x:v>2A70</x:v>
      </x:c>
      <x:c r="D7" s="21" t="n">
        <x:v>1</x:v>
      </x:c>
      <x:c r="E7" s="25" t="n">
        <x:v>5</x:v>
      </x:c>
      <x:c r="F7" s="25" t="n">
        <x:v>2.5</x:v>
      </x:c>
      <x:c r="G7" s="2" t="str">
        <x:v>100×50 köşe bağlantısı</x:v>
      </x:c>
    </x:row>
    <x:row r="8" ht="24" customHeight="1">
      <x:c r="A8" s="2" t="str">
        <x:v>B02</x:v>
      </x:c>
      <x:c r="B8" s="2" t="str">
        <x:v>BOM_B02_DIS_KOSE_100x50</x:v>
      </x:c>
      <x:c r="C8" s="2" t="str">
        <x:v>2A72</x:v>
      </x:c>
      <x:c r="D8" s="21" t="n">
        <x:v>1</x:v>
      </x:c>
      <x:c r="E8" s="25" t="n">
        <x:v>642.5</x:v>
      </x:c>
      <x:c r="F8" s="25" t="n">
        <x:v>2.5</x:v>
      </x:c>
      <x:c r="G8" s="2" t="str">
        <x:v>100×50 köşe bağlantısı</x:v>
      </x:c>
    </x:row>
    <x:row r="9" ht="24" customHeight="1">
      <x:c r="A9" s="2" t="str">
        <x:v>B02</x:v>
      </x:c>
      <x:c r="B9" s="2" t="str">
        <x:v>BOM_B02_DIS_KOSE_100x50</x:v>
      </x:c>
      <x:c r="C9" s="2" t="str">
        <x:v>2A74</x:v>
      </x:c>
      <x:c r="D9" s="21" t="n">
        <x:v>1</x:v>
      </x:c>
      <x:c r="E9" s="25" t="n">
        <x:v>768</x:v>
      </x:c>
      <x:c r="F9" s="25" t="n">
        <x:v>504.5</x:v>
      </x:c>
      <x:c r="G9" s="2" t="str">
        <x:v>100×50 köşe bağlantısı</x:v>
      </x:c>
    </x:row>
    <x:row r="10" ht="24" customHeight="1">
      <x:c r="A10" s="2" t="str">
        <x:v>B02</x:v>
      </x:c>
      <x:c r="B10" s="2" t="str">
        <x:v>BOM_B02_DIS_KOSE_100x50</x:v>
      </x:c>
      <x:c r="C10" s="2" t="str">
        <x:v>2A76</x:v>
      </x:c>
      <x:c r="D10" s="21" t="n">
        <x:v>1</x:v>
      </x:c>
      <x:c r="E10" s="25" t="n">
        <x:v>768</x:v>
      </x:c>
      <x:c r="F10" s="25" t="n">
        <x:v>1074.25</x:v>
      </x:c>
      <x:c r="G10" s="2" t="str">
        <x:v>100×50 köşe bağlantısı</x:v>
      </x:c>
    </x:row>
    <x:row r="11" ht="24" customHeight="1">
      <x:c r="A11" s="2" t="str">
        <x:v>B02</x:v>
      </x:c>
      <x:c r="B11" s="2" t="str">
        <x:v>BOM_B02_DIS_KOSE_100x50</x:v>
      </x:c>
      <x:c r="C11" s="2" t="str">
        <x:v>2A78</x:v>
      </x:c>
      <x:c r="D11" s="21" t="n">
        <x:v>1</x:v>
      </x:c>
      <x:c r="E11" s="25" t="n">
        <x:v>5</x:v>
      </x:c>
      <x:c r="F11" s="25" t="n">
        <x:v>1074.25</x:v>
      </x:c>
      <x:c r="G11" s="2" t="str">
        <x:v>100×50 köşe bağlantısı</x:v>
      </x:c>
    </x:row>
    <x:row r="12" ht="24" customHeight="1">
      <x:c r="A12" s="2" t="str">
        <x:v>B02</x:v>
      </x:c>
      <x:c r="B12" s="2" t="str">
        <x:v>BOM_B02_DIS_KOSE_100x50</x:v>
      </x:c>
      <x:c r="C12" s="2" t="str">
        <x:v>3E4F</x:v>
      </x:c>
      <x:c r="D12" s="21" t="n">
        <x:v>1</x:v>
      </x:c>
      <x:c r="E12" s="25" t="n">
        <x:v>640</x:v>
      </x:c>
      <x:c r="F12" s="25" t="n">
        <x:v>507</x:v>
      </x:c>
      <x:c r="G12" s="2" t="str">
        <x:v>100×50 köşe bağlantısı</x:v>
      </x:c>
    </x:row>
    <x:row r="13" ht="24" customHeight="1">
      <x:c r="A13" s="2" t="str">
        <x:v>B03</x:v>
      </x:c>
      <x:c r="B13" s="2" t="str">
        <x:v>BOM_B03_UCLU_H_60</x:v>
      </x:c>
      <x:c r="C13" s="2" t="str">
        <x:v>2A7C</x:v>
      </x:c>
      <x:c r="D13" s="21" t="n">
        <x:v>1</x:v>
      </x:c>
      <x:c r="E13" s="25" t="n">
        <x:v>198.25</x:v>
      </x:c>
      <x:c r="F13" s="25" t="n">
        <x:v>381.5</x:v>
      </x:c>
      <x:c r="G13" s="2" t="str">
        <x:v>Üçlü H bağlantı</x:v>
      </x:c>
    </x:row>
    <x:row r="14" ht="24" customHeight="1">
      <x:c r="A14" s="2" t="str">
        <x:v>B03</x:v>
      </x:c>
      <x:c r="B14" s="2" t="str">
        <x:v>BOM_B03_UCLU_H_60</x:v>
      </x:c>
      <x:c r="C14" s="2" t="str">
        <x:v>2A7E</x:v>
      </x:c>
      <x:c r="D14" s="21" t="n">
        <x:v>1</x:v>
      </x:c>
      <x:c r="E14" s="25" t="n">
        <x:v>323.75</x:v>
      </x:c>
      <x:c r="F14" s="25" t="n">
        <x:v>381.5</x:v>
      </x:c>
      <x:c r="G14" s="2" t="str">
        <x:v>Üçlü H bağlantı</x:v>
      </x:c>
    </x:row>
    <x:row r="15" ht="24" customHeight="1">
      <x:c r="A15" s="2" t="str">
        <x:v>B03</x:v>
      </x:c>
      <x:c r="B15" s="2" t="str">
        <x:v>BOM_B03_UCLU_H_60</x:v>
      </x:c>
      <x:c r="C15" s="2" t="str">
        <x:v>2A80</x:v>
      </x:c>
      <x:c r="D15" s="21" t="n">
        <x:v>1</x:v>
      </x:c>
      <x:c r="E15" s="25" t="n">
        <x:v>198.25</x:v>
      </x:c>
      <x:c r="F15" s="25" t="n">
        <x:v>632.5</x:v>
      </x:c>
      <x:c r="G15" s="2" t="str">
        <x:v>Üçlü H bağlantı</x:v>
      </x:c>
    </x:row>
    <x:row r="16" ht="24" customHeight="1">
      <x:c r="A16" s="2" t="str">
        <x:v>B03</x:v>
      </x:c>
      <x:c r="B16" s="2" t="str">
        <x:v>BOM_B03_UCLU_H_60</x:v>
      </x:c>
      <x:c r="C16" s="2" t="str">
        <x:v>2A82</x:v>
      </x:c>
      <x:c r="D16" s="21" t="n">
        <x:v>1</x:v>
      </x:c>
      <x:c r="E16" s="25" t="n">
        <x:v>323.75</x:v>
      </x:c>
      <x:c r="F16" s="25" t="n">
        <x:v>632.5</x:v>
      </x:c>
      <x:c r="G16" s="2" t="str">
        <x:v>Üçlü H bağlantı</x:v>
      </x:c>
    </x:row>
    <x:row r="17" ht="24" customHeight="1">
      <x:c r="A17" s="2" t="str">
        <x:v>B04</x:v>
      </x:c>
      <x:c r="B17" s="2" t="str">
        <x:v>BOM_B04_VERANDA_DIKME</x:v>
      </x:c>
      <x:c r="C17" s="2" t="str">
        <x:v>2A96</x:v>
      </x:c>
      <x:c r="D17" s="21" t="n">
        <x:v>1</x:v>
      </x:c>
      <x:c r="E17" s="25" t="n">
        <x:v>768</x:v>
      </x:c>
      <x:c r="F17" s="25" t="n">
        <x:v>5</x:v>
      </x:c>
      <x:c r="G17" s="2" t="str">
        <x:v>Veranda dikmesi</x:v>
      </x:c>
    </x:row>
    <x:row r="18" ht="24" customHeight="1">
      <x:c r="A18" s="2" t="str">
        <x:v>B04</x:v>
      </x:c>
      <x:c r="B18" s="2" t="str">
        <x:v>BOM_B04_VERANDA_DIKME</x:v>
      </x:c>
      <x:c r="C18" s="2" t="str">
        <x:v>2A98</x:v>
      </x:c>
      <x:c r="D18" s="21" t="n">
        <x:v>1</x:v>
      </x:c>
      <x:c r="E18" s="25" t="n">
        <x:v>768</x:v>
      </x:c>
      <x:c r="F18" s="25" t="n">
        <x:v>251</x:v>
      </x:c>
      <x:c r="G18" s="2" t="str">
        <x:v>Veranda dikmesi</x:v>
      </x:c>
    </x:row>
    <x:row r="19" ht="24" customHeight="1">
      <x:c r="A19" s="2" t="str">
        <x:v>D01</x:v>
      </x:c>
      <x:c r="B19" s="2" t="str">
        <x:v>BOM_D01_1255p0_H_DOLU_PP</x:v>
      </x:c>
      <x:c r="C19" s="2" t="str">
        <x:v>29AD</x:v>
      </x:c>
      <x:c r="D19" s="21" t="n">
        <x:v>1</x:v>
      </x:c>
      <x:c r="E19" s="25" t="n">
        <x:v>72.75</x:v>
      </x:c>
      <x:c r="F19" s="25" t="n">
        <x:v>1071.75</x:v>
      </x:c>
      <x:c r="G19" s="2" t="str">
        <x:v>Dolu pano</x:v>
      </x:c>
    </x:row>
    <x:row r="20" ht="24" customHeight="1">
      <x:c r="A20" s="2" t="str">
        <x:v>D01</x:v>
      </x:c>
      <x:c r="B20" s="2" t="str">
        <x:v>BOM_D01_1255p0_H_DOLU_PP</x:v>
      </x:c>
      <x:c r="C20" s="2" t="str">
        <x:v>29AF</x:v>
      </x:c>
      <x:c r="D20" s="21" t="n">
        <x:v>1</x:v>
      </x:c>
      <x:c r="E20" s="25" t="n">
        <x:v>198.25</x:v>
      </x:c>
      <x:c r="F20" s="25" t="n">
        <x:v>1071.75</x:v>
      </x:c>
      <x:c r="G20" s="2" t="str">
        <x:v>Dolu pano</x:v>
      </x:c>
    </x:row>
    <x:row r="21" ht="24" customHeight="1">
      <x:c r="A21" s="2" t="str">
        <x:v>D01</x:v>
      </x:c>
      <x:c r="B21" s="2" t="str">
        <x:v>BOM_D01_1255p0_H_DOLU_PP</x:v>
      </x:c>
      <x:c r="C21" s="2" t="str">
        <x:v>29B1</x:v>
      </x:c>
      <x:c r="D21" s="21" t="n">
        <x:v>1</x:v>
      </x:c>
      <x:c r="E21" s="25" t="n">
        <x:v>323.75</x:v>
      </x:c>
      <x:c r="F21" s="25" t="n">
        <x:v>1071.75</x:v>
      </x:c>
      <x:c r="G21" s="2" t="str">
        <x:v>Dolu pano</x:v>
      </x:c>
    </x:row>
    <x:row r="22" ht="24" customHeight="1">
      <x:c r="A22" s="2" t="str">
        <x:v>D01</x:v>
      </x:c>
      <x:c r="B22" s="2" t="str">
        <x:v>BOM_D01_1255p0_H_DOLU_PP</x:v>
      </x:c>
      <x:c r="C22" s="2" t="str">
        <x:v>29B3</x:v>
      </x:c>
      <x:c r="D22" s="21" t="n">
        <x:v>1</x:v>
      </x:c>
      <x:c r="E22" s="25" t="n">
        <x:v>449.25</x:v>
      </x:c>
      <x:c r="F22" s="25" t="n">
        <x:v>1071.75</x:v>
      </x:c>
      <x:c r="G22" s="2" t="str">
        <x:v>Dolu pano</x:v>
      </x:c>
    </x:row>
    <x:row r="23" ht="24" customHeight="1">
      <x:c r="A23" s="2" t="str">
        <x:v>D01</x:v>
      </x:c>
      <x:c r="B23" s="2" t="str">
        <x:v>BOM_D01_1255p0_H_DOLU_PP</x:v>
      </x:c>
      <x:c r="C23" s="2" t="str">
        <x:v>29BD</x:v>
      </x:c>
      <x:c r="D23" s="21" t="n">
        <x:v>1</x:v>
      </x:c>
      <x:c r="E23" s="25" t="n">
        <x:v>700.25</x:v>
      </x:c>
      <x:c r="F23" s="25" t="n">
        <x:v>1071.75</x:v>
      </x:c>
      <x:c r="G23" s="2" t="str">
        <x:v>Dolu pano</x:v>
      </x:c>
    </x:row>
    <x:row r="24" ht="24" customHeight="1">
      <x:c r="A24" s="2" t="str">
        <x:v>D01</x:v>
      </x:c>
      <x:c r="B24" s="2" t="str">
        <x:v>BOM_D01_1255p0_H_DOLU_PP</x:v>
      </x:c>
      <x:c r="C24" s="2" t="str">
        <x:v>29BF</x:v>
      </x:c>
      <x:c r="D24" s="21" t="n">
        <x:v>1</x:v>
      </x:c>
      <x:c r="E24" s="25" t="n">
        <x:v>72.75</x:v>
      </x:c>
      <x:c r="F24" s="25" t="n">
        <x:v>5</x:v>
      </x:c>
      <x:c r="G24" s="2" t="str">
        <x:v>Dolu pano</x:v>
      </x:c>
    </x:row>
    <x:row r="25" ht="24" customHeight="1">
      <x:c r="A25" s="2" t="str">
        <x:v>D01</x:v>
      </x:c>
      <x:c r="B25" s="2" t="str">
        <x:v>BOM_D01_1255p0_H_DOLU_PP</x:v>
      </x:c>
      <x:c r="C25" s="2" t="str">
        <x:v>29C3</x:v>
      </x:c>
      <x:c r="D25" s="21" t="n">
        <x:v>1</x:v>
      </x:c>
      <x:c r="E25" s="25" t="n">
        <x:v>323.75</x:v>
      </x:c>
      <x:c r="F25" s="25" t="n">
        <x:v>5</x:v>
      </x:c>
      <x:c r="G25" s="2" t="str">
        <x:v>Dolu pano</x:v>
      </x:c>
    </x:row>
    <x:row r="26" ht="24" customHeight="1">
      <x:c r="A26" s="2" t="str">
        <x:v>D01</x:v>
      </x:c>
      <x:c r="B26" s="2" t="str">
        <x:v>BOM_D01_1255p0_H_DOLU_PP</x:v>
      </x:c>
      <x:c r="C26" s="2" t="str">
        <x:v>29C7</x:v>
      </x:c>
      <x:c r="D26" s="21" t="n">
        <x:v>1</x:v>
      </x:c>
      <x:c r="E26" s="25" t="n">
        <x:v>574.75</x:v>
      </x:c>
      <x:c r="F26" s="25" t="n">
        <x:v>5</x:v>
      </x:c>
      <x:c r="G26" s="2" t="str">
        <x:v>Dolu pano</x:v>
      </x:c>
    </x:row>
    <x:row r="27" ht="24" customHeight="1">
      <x:c r="A27" s="2" t="str">
        <x:v>D01</x:v>
      </x:c>
      <x:c r="B27" s="2" t="str">
        <x:v>BOM_D01_1255p0_V_DOLU_PP</x:v>
      </x:c>
      <x:c r="C27" s="2" t="str">
        <x:v>29CD</x:v>
      </x:c>
      <x:c r="D27" s="21" t="n">
        <x:v>1</x:v>
      </x:c>
      <x:c r="E27" s="25" t="n">
        <x:v>5</x:v>
      </x:c>
      <x:c r="F27" s="25" t="n">
        <x:v>67.75</x:v>
      </x:c>
      <x:c r="G27" s="2" t="str">
        <x:v>Dolu pano</x:v>
      </x:c>
    </x:row>
    <x:row r="28" ht="24" customHeight="1">
      <x:c r="A28" s="2" t="str">
        <x:v>D01</x:v>
      </x:c>
      <x:c r="B28" s="2" t="str">
        <x:v>BOM_D01_1255p0_V_DOLU_PP</x:v>
      </x:c>
      <x:c r="C28" s="2" t="str">
        <x:v>29CF</x:v>
      </x:c>
      <x:c r="D28" s="21" t="n">
        <x:v>1</x:v>
      </x:c>
      <x:c r="E28" s="25" t="n">
        <x:v>5</x:v>
      </x:c>
      <x:c r="F28" s="25" t="n">
        <x:v>193.25</x:v>
      </x:c>
      <x:c r="G28" s="2" t="str">
        <x:v>Dolu pano</x:v>
      </x:c>
    </x:row>
    <x:row r="29" ht="24" customHeight="1">
      <x:c r="A29" s="2" t="str">
        <x:v>D01</x:v>
      </x:c>
      <x:c r="B29" s="2" t="str">
        <x:v>BOM_D01_1255p0_V_DOLU_PP</x:v>
      </x:c>
      <x:c r="C29" s="2" t="str">
        <x:v>29D1</x:v>
      </x:c>
      <x:c r="D29" s="21" t="n">
        <x:v>1</x:v>
      </x:c>
      <x:c r="E29" s="25" t="n">
        <x:v>5</x:v>
      </x:c>
      <x:c r="F29" s="25" t="n">
        <x:v>318.75</x:v>
      </x:c>
      <x:c r="G29" s="2" t="str">
        <x:v>Dolu pano</x:v>
      </x:c>
    </x:row>
    <x:row r="30" ht="24" customHeight="1">
      <x:c r="A30" s="2" t="str">
        <x:v>D01</x:v>
      </x:c>
      <x:c r="B30" s="2" t="str">
        <x:v>BOM_D01_1255p0_V_DOLU_PP</x:v>
      </x:c>
      <x:c r="C30" s="2" t="str">
        <x:v>29DB</x:v>
      </x:c>
      <x:c r="D30" s="21" t="n">
        <x:v>1</x:v>
      </x:c>
      <x:c r="E30" s="25" t="n">
        <x:v>5</x:v>
      </x:c>
      <x:c r="F30" s="25" t="n">
        <x:v>569.75</x:v>
      </x:c>
      <x:c r="G30" s="2" t="str">
        <x:v>Dolu pano</x:v>
      </x:c>
    </x:row>
    <x:row r="31" ht="24" customHeight="1">
      <x:c r="A31" s="2" t="str">
        <x:v>D01</x:v>
      </x:c>
      <x:c r="B31" s="2" t="str">
        <x:v>BOM_D01_1255p0_V_DOLU_PP</x:v>
      </x:c>
      <x:c r="C31" s="2" t="str">
        <x:v>29DD</x:v>
      </x:c>
      <x:c r="D31" s="21" t="n">
        <x:v>1</x:v>
      </x:c>
      <x:c r="E31" s="25" t="n">
        <x:v>5</x:v>
      </x:c>
      <x:c r="F31" s="25" t="n">
        <x:v>695.25</x:v>
      </x:c>
      <x:c r="G31" s="2" t="str">
        <x:v>Dolu pano</x:v>
      </x:c>
    </x:row>
    <x:row r="32" ht="24" customHeight="1">
      <x:c r="A32" s="2" t="str">
        <x:v>D01</x:v>
      </x:c>
      <x:c r="B32" s="2" t="str">
        <x:v>BOM_D01_1255p0_V_DOLU_PP</x:v>
      </x:c>
      <x:c r="C32" s="2" t="str">
        <x:v>29E7</x:v>
      </x:c>
      <x:c r="D32" s="21" t="n">
        <x:v>1</x:v>
      </x:c>
      <x:c r="E32" s="25" t="n">
        <x:v>5</x:v>
      </x:c>
      <x:c r="F32" s="25" t="n">
        <x:v>946.25</x:v>
      </x:c>
      <x:c r="G32" s="2" t="str">
        <x:v>Dolu pano</x:v>
      </x:c>
    </x:row>
    <x:row r="33" ht="24" customHeight="1">
      <x:c r="A33" s="2" t="str">
        <x:v>D01</x:v>
      </x:c>
      <x:c r="B33" s="2" t="str">
        <x:v>BOM_D01_1255p0_V_DOLU_PP</x:v>
      </x:c>
      <x:c r="C33" s="2" t="str">
        <x:v>29EF</x:v>
      </x:c>
      <x:c r="D33" s="21" t="n">
        <x:v>1</x:v>
      </x:c>
      <x:c r="E33" s="25" t="n">
        <x:v>768</x:v>
      </x:c>
      <x:c r="F33" s="25" t="n">
        <x:v>569.75</x:v>
      </x:c>
      <x:c r="G33" s="2" t="str">
        <x:v>Dolu pano</x:v>
      </x:c>
    </x:row>
    <x:row r="34" ht="24" customHeight="1">
      <x:c r="A34" s="2" t="str">
        <x:v>D01</x:v>
      </x:c>
      <x:c r="B34" s="2" t="str">
        <x:v>BOM_D01_1255p0_V_DOLU_PP</x:v>
      </x:c>
      <x:c r="C34" s="2" t="str">
        <x:v>29F1</x:v>
      </x:c>
      <x:c r="D34" s="21" t="n">
        <x:v>1</x:v>
      </x:c>
      <x:c r="E34" s="25" t="n">
        <x:v>768</x:v>
      </x:c>
      <x:c r="F34" s="25" t="n">
        <x:v>695.25</x:v>
      </x:c>
      <x:c r="G34" s="2" t="str">
        <x:v>Dolu pano</x:v>
      </x:c>
    </x:row>
    <x:row r="35" ht="24" customHeight="1">
      <x:c r="A35" s="2" t="str">
        <x:v>D01</x:v>
      </x:c>
      <x:c r="B35" s="2" t="str">
        <x:v>BOM_D01_1255p0_V_DOLU_PP</x:v>
      </x:c>
      <x:c r="C35" s="2" t="str">
        <x:v>29FB</x:v>
      </x:c>
      <x:c r="D35" s="21" t="n">
        <x:v>1</x:v>
      </x:c>
      <x:c r="E35" s="25" t="n">
        <x:v>768</x:v>
      </x:c>
      <x:c r="F35" s="25" t="n">
        <x:v>946.25</x:v>
      </x:c>
      <x:c r="G35" s="2" t="str">
        <x:v>Dolu pano</x:v>
      </x:c>
    </x:row>
    <x:row r="36" ht="24" customHeight="1">
      <x:c r="A36" s="2" t="str">
        <x:v>D01</x:v>
      </x:c>
      <x:c r="B36" s="2" t="str">
        <x:v>BOM_D01_1255p0_V_DOLU_PP</x:v>
      </x:c>
      <x:c r="C36" s="2" t="str">
        <x:v>29FF</x:v>
      </x:c>
      <x:c r="D36" s="21" t="n">
        <x:v>1</x:v>
      </x:c>
      <x:c r="E36" s="25" t="n">
        <x:v>642.5</x:v>
      </x:c>
      <x:c r="F36" s="25" t="n">
        <x:v>67.75</x:v>
      </x:c>
      <x:c r="G36" s="2" t="str">
        <x:v>Dolu pano</x:v>
      </x:c>
    </x:row>
    <x:row r="37" ht="24" customHeight="1">
      <x:c r="A37" s="2" t="str">
        <x:v>D01</x:v>
      </x:c>
      <x:c r="B37" s="2" t="str">
        <x:v>BOM_D01_1255p0_V_DOLU_PP</x:v>
      </x:c>
      <x:c r="C37" s="2" t="str">
        <x:v>2A03</x:v>
      </x:c>
      <x:c r="D37" s="21" t="n">
        <x:v>1</x:v>
      </x:c>
      <x:c r="E37" s="25" t="n">
        <x:v>642.5</x:v>
      </x:c>
      <x:c r="F37" s="25" t="n">
        <x:v>318.75</x:v>
      </x:c>
      <x:c r="G37" s="2" t="str">
        <x:v>Dolu pano</x:v>
      </x:c>
    </x:row>
    <x:row r="38" ht="24" customHeight="1">
      <x:c r="A38" s="2" t="str">
        <x:v>D02</x:v>
      </x:c>
      <x:c r="B38" s="2" t="str">
        <x:v>BOM_D02_1255p0_H_P01_PP</x:v>
      </x:c>
      <x:c r="C38" s="2" t="str">
        <x:v>29BB</x:v>
      </x:c>
      <x:c r="D38" s="21" t="n">
        <x:v>1</x:v>
      </x:c>
      <x:c r="E38" s="25" t="n">
        <x:v>574.75</x:v>
      </x:c>
      <x:c r="F38" s="25" t="n">
        <x:v>1071.75</x:v>
      </x:c>
      <x:c r="G38" s="2" t="str">
        <x:v>120×120 pencereli pano</x:v>
      </x:c>
    </x:row>
    <x:row r="39" ht="24" customHeight="1">
      <x:c r="A39" s="2" t="str">
        <x:v>D02</x:v>
      </x:c>
      <x:c r="B39" s="2" t="str">
        <x:v>BOM_D02_1255p0_H_P01_PP</x:v>
      </x:c>
      <x:c r="C39" s="2" t="str">
        <x:v>29C1</x:v>
      </x:c>
      <x:c r="D39" s="21" t="n">
        <x:v>1</x:v>
      </x:c>
      <x:c r="E39" s="25" t="n">
        <x:v>198.25</x:v>
      </x:c>
      <x:c r="F39" s="25" t="n">
        <x:v>5</x:v>
      </x:c>
      <x:c r="G39" s="2" t="str">
        <x:v>120×120 pencereli pano</x:v>
      </x:c>
    </x:row>
    <x:row r="40" ht="24" customHeight="1">
      <x:c r="A40" s="2" t="str">
        <x:v>D02</x:v>
      </x:c>
      <x:c r="B40" s="2" t="str">
        <x:v>BOM_D02_1255p0_H_P01_PP</x:v>
      </x:c>
      <x:c r="C40" s="2" t="str">
        <x:v>29C5</x:v>
      </x:c>
      <x:c r="D40" s="21" t="n">
        <x:v>1</x:v>
      </x:c>
      <x:c r="E40" s="25" t="n">
        <x:v>449.25</x:v>
      </x:c>
      <x:c r="F40" s="25" t="n">
        <x:v>5</x:v>
      </x:c>
      <x:c r="G40" s="2" t="str">
        <x:v>120×120 pencereli pano</x:v>
      </x:c>
    </x:row>
    <x:row r="41" ht="24" customHeight="1">
      <x:c r="A41" s="2" t="str">
        <x:v>D02</x:v>
      </x:c>
      <x:c r="B41" s="2" t="str">
        <x:v>BOM_D02_1255p0_V_P01_PP</x:v>
      </x:c>
      <x:c r="C41" s="2" t="str">
        <x:v>29E5</x:v>
      </x:c>
      <x:c r="D41" s="21" t="n">
        <x:v>1</x:v>
      </x:c>
      <x:c r="E41" s="25" t="n">
        <x:v>5</x:v>
      </x:c>
      <x:c r="F41" s="25" t="n">
        <x:v>820.75</x:v>
      </x:c>
      <x:c r="G41" s="2" t="str">
        <x:v>120×120 pencereli pano</x:v>
      </x:c>
    </x:row>
    <x:row r="42" ht="24" customHeight="1">
      <x:c r="A42" s="2" t="str">
        <x:v>D03</x:v>
      </x:c>
      <x:c r="B42" s="2" t="str">
        <x:v>BOM_D03_1255p0_V_P02_PP</x:v>
      </x:c>
      <x:c r="C42" s="2" t="str">
        <x:v>29F9</x:v>
      </x:c>
      <x:c r="D42" s="21" t="n">
        <x:v>1</x:v>
      </x:c>
      <x:c r="E42" s="25" t="n">
        <x:v>768</x:v>
      </x:c>
      <x:c r="F42" s="25" t="n">
        <x:v>820.75</x:v>
      </x:c>
      <x:c r="G42" s="2" t="str">
        <x:v>120×180 pencereli pano</x:v>
      </x:c>
    </x:row>
    <x:row r="43" ht="24" customHeight="1">
      <x:c r="A43" s="2" t="str">
        <x:v>D03</x:v>
      </x:c>
      <x:c r="B43" s="2" t="str">
        <x:v>BOM_D03_1255p0_V_P02_PP</x:v>
      </x:c>
      <x:c r="C43" s="2" t="str">
        <x:v>2A01</x:v>
      </x:c>
      <x:c r="D43" s="21" t="n">
        <x:v>1</x:v>
      </x:c>
      <x:c r="E43" s="25" t="n">
        <x:v>642.5</x:v>
      </x:c>
      <x:c r="F43" s="25" t="n">
        <x:v>193.25</x:v>
      </x:c>
      <x:c r="G43" s="2" t="str">
        <x:v>120×180 pencereli pano</x:v>
      </x:c>
    </x:row>
    <x:row r="44" ht="24" customHeight="1">
      <x:c r="A44" s="2" t="str">
        <x:v>D04</x:v>
      </x:c>
      <x:c r="B44" s="2" t="str">
        <x:v>BOM_D04_1255p0_V_P03_PP</x:v>
      </x:c>
      <x:c r="C44" s="2" t="str">
        <x:v>29D9</x:v>
      </x:c>
      <x:c r="D44" s="21" t="n">
        <x:v>1</x:v>
      </x:c>
      <x:c r="E44" s="25" t="n">
        <x:v>5</x:v>
      </x:c>
      <x:c r="F44" s="25" t="n">
        <x:v>444.25</x:v>
      </x:c>
      <x:c r="G44" s="2" t="str">
        <x:v>60×40 vasistaslı pano</x:v>
      </x:c>
    </x:row>
    <x:row r="45" ht="24" customHeight="1">
      <x:c r="A45" s="2" t="str">
        <x:v>D06</x:v>
      </x:c>
      <x:c r="B45" s="2" t="str">
        <x:v>BOM_D06_627p5_V_DOLU_PP</x:v>
      </x:c>
      <x:c r="C45" s="2" t="str">
        <x:v>29ED</x:v>
      </x:c>
      <x:c r="D45" s="21" t="n">
        <x:v>1</x:v>
      </x:c>
      <x:c r="E45" s="25" t="n">
        <x:v>5</x:v>
      </x:c>
      <x:c r="F45" s="25" t="n">
        <x:v>1040.375</x:v>
      </x:c>
      <x:c r="G45" s="2" t="str">
        <x:v>Özel dolu pano</x:v>
      </x:c>
    </x:row>
    <x:row r="46" ht="24" customHeight="1">
      <x:c r="A46" s="2" t="str">
        <x:v>D06</x:v>
      </x:c>
      <x:c r="B46" s="2" t="str">
        <x:v>BOM_D06_627p5_V_DOLU_PP</x:v>
      </x:c>
      <x:c r="C46" s="2" t="str">
        <x:v>29FD</x:v>
      </x:c>
      <x:c r="D46" s="21" t="n">
        <x:v>1</x:v>
      </x:c>
      <x:c r="E46" s="25" t="n">
        <x:v>768</x:v>
      </x:c>
      <x:c r="F46" s="25" t="n">
        <x:v>1040.375</x:v>
      </x:c>
      <x:c r="G46" s="2" t="str">
        <x:v>Özel dolu pano</x:v>
      </x:c>
    </x:row>
    <x:row r="47" ht="24" customHeight="1">
      <x:c r="A47" s="2" t="str">
        <x:v>D07</x:v>
      </x:c>
      <x:c r="B47" s="2" t="str">
        <x:v>BOM_D07_1205p0_V_K02_PP</x:v>
      </x:c>
      <x:c r="C47" s="2" t="str">
        <x:v>2A0B</x:v>
      </x:c>
      <x:c r="D47" s="21" t="n">
        <x:v>1</x:v>
      </x:c>
      <x:c r="E47" s="25" t="n">
        <x:v>642.5</x:v>
      </x:c>
      <x:c r="F47" s="25" t="n">
        <x:v>441.75</x:v>
      </x:c>
      <x:c r="G47" s="2" t="str">
        <x:v>Dış kapılı özel pano</x:v>
      </x:c>
    </x:row>
    <x:row r="48" ht="24" customHeight="1">
      <x:c r="A48" s="2" t="str">
        <x:v>D08</x:v>
      </x:c>
      <x:c r="B48" s="2" t="str">
        <x:v>BOM_D08_1205_H_DOLU_PP</x:v>
      </x:c>
      <x:c r="C48" s="2" t="str">
        <x:v>2A0D</x:v>
      </x:c>
      <x:c r="D48" s="21" t="n">
        <x:v>1</x:v>
      </x:c>
      <x:c r="E48" s="25" t="n">
        <x:v>702.75</x:v>
      </x:c>
      <x:c r="F48" s="25" t="n">
        <x:v>507</x:v>
      </x:c>
      <x:c r="G48" s="2" t="str">
        <x:v>Özel dolu pano</x:v>
      </x:c>
    </x:row>
    <x:row r="49" ht="24" customHeight="1">
      <x:c r="A49" s="2" t="str">
        <x:v>I01</x:v>
      </x:c>
      <x:c r="B49" s="2" t="str">
        <x:v>BOM_I01_1255p0_H_DOLU_PP</x:v>
      </x:c>
      <x:c r="C49" s="2" t="str">
        <x:v>2A13</x:v>
      </x:c>
      <x:c r="D49" s="21" t="n">
        <x:v>1</x:v>
      </x:c>
      <x:c r="E49" s="25" t="n">
        <x:v>72.75</x:v>
      </x:c>
      <x:c r="F49" s="25" t="n">
        <x:v>381.5</x:v>
      </x:c>
      <x:c r="G49" s="2" t="str">
        <x:v>Dolu pano</x:v>
      </x:c>
    </x:row>
    <x:row r="50" ht="24" customHeight="1">
      <x:c r="A50" s="2" t="str">
        <x:v>I01</x:v>
      </x:c>
      <x:c r="B50" s="2" t="str">
        <x:v>BOM_I01_1255p0_H_DOLU_PP</x:v>
      </x:c>
      <x:c r="C50" s="2" t="str">
        <x:v>2A23</x:v>
      </x:c>
      <x:c r="D50" s="21" t="n">
        <x:v>1</x:v>
      </x:c>
      <x:c r="E50" s="25" t="n">
        <x:v>72.75</x:v>
      </x:c>
      <x:c r="F50" s="25" t="n">
        <x:v>632.5</x:v>
      </x:c>
      <x:c r="G50" s="2" t="str">
        <x:v>Dolu pano</x:v>
      </x:c>
    </x:row>
    <x:row r="51" ht="24" customHeight="1">
      <x:c r="A51" s="2" t="str">
        <x:v>I01</x:v>
      </x:c>
      <x:c r="B51" s="2" t="str">
        <x:v>BOM_I01_1255p0_H_DOLU_PP</x:v>
      </x:c>
      <x:c r="C51" s="2" t="str">
        <x:v>2A37</x:v>
      </x:c>
      <x:c r="D51" s="21" t="n">
        <x:v>1</x:v>
      </x:c>
      <x:c r="E51" s="25" t="n">
        <x:v>512</x:v>
      </x:c>
      <x:c r="F51" s="25" t="n">
        <x:v>381.5</x:v>
      </x:c>
      <x:c r="G51" s="2" t="str">
        <x:v>Dolu pano</x:v>
      </x:c>
    </x:row>
    <x:row r="52" ht="24" customHeight="1">
      <x:c r="A52" s="2" t="str">
        <x:v>I01</x:v>
      </x:c>
      <x:c r="B52" s="2" t="str">
        <x:v>BOM_I01_1255p0_V_DOLU_PP</x:v>
      </x:c>
      <x:c r="C52" s="2" t="str">
        <x:v>2A45</x:v>
      </x:c>
      <x:c r="D52" s="21" t="n">
        <x:v>1</x:v>
      </x:c>
      <x:c r="E52" s="25" t="n">
        <x:v>323.75</x:v>
      </x:c>
      <x:c r="F52" s="25" t="n">
        <x:v>193.25</x:v>
      </x:c>
      <x:c r="G52" s="2" t="str">
        <x:v>Dolu pano</x:v>
      </x:c>
    </x:row>
    <x:row r="53" ht="24" customHeight="1">
      <x:c r="A53" s="2" t="str">
        <x:v>I01</x:v>
      </x:c>
      <x:c r="B53" s="2" t="str">
        <x:v>BOM_I01_1255p0_V_DOLU_PP</x:v>
      </x:c>
      <x:c r="C53" s="2" t="str">
        <x:v>2A59</x:v>
      </x:c>
      <x:c r="D53" s="21" t="n">
        <x:v>1</x:v>
      </x:c>
      <x:c r="E53" s="25" t="n">
        <x:v>323.75</x:v>
      </x:c>
      <x:c r="F53" s="25" t="n">
        <x:v>695.25</x:v>
      </x:c>
      <x:c r="G53" s="2" t="str">
        <x:v>Dolu pano</x:v>
      </x:c>
    </x:row>
    <x:row r="54" ht="24" customHeight="1">
      <x:c r="A54" s="2" t="str">
        <x:v>I01</x:v>
      </x:c>
      <x:c r="B54" s="2" t="str">
        <x:v>BOM_I01_1255p0_V_DOLU_PP</x:v>
      </x:c>
      <x:c r="C54" s="2" t="str">
        <x:v>2A5B</x:v>
      </x:c>
      <x:c r="D54" s="21" t="n">
        <x:v>1</x:v>
      </x:c>
      <x:c r="E54" s="25" t="n">
        <x:v>323.75</x:v>
      </x:c>
      <x:c r="F54" s="25" t="n">
        <x:v>820.75</x:v>
      </x:c>
      <x:c r="G54" s="2" t="str">
        <x:v>Dolu pano</x:v>
      </x:c>
    </x:row>
    <x:row r="55" ht="24" customHeight="1">
      <x:c r="A55" s="2" t="str">
        <x:v>I01</x:v>
      </x:c>
      <x:c r="B55" s="2" t="str">
        <x:v>BOM_I01_1255p0_V_DOLU_PP</x:v>
      </x:c>
      <x:c r="C55" s="2" t="str">
        <x:v>2A5D</x:v>
      </x:c>
      <x:c r="D55" s="21" t="n">
        <x:v>1</x:v>
      </x:c>
      <x:c r="E55" s="25" t="n">
        <x:v>323.75</x:v>
      </x:c>
      <x:c r="F55" s="25" t="n">
        <x:v>946.25</x:v>
      </x:c>
      <x:c r="G55" s="2" t="str">
        <x:v>Dolu pano</x:v>
      </x:c>
    </x:row>
    <x:row r="56" ht="24" customHeight="1">
      <x:c r="A56" s="2" t="str">
        <x:v>I01</x:v>
      </x:c>
      <x:c r="B56" s="2" t="str">
        <x:v>BOM_I01_1255p0_H_DOLU_PP</x:v>
      </x:c>
      <x:c r="C56" s="2" t="str">
        <x:v>2A65</x:v>
      </x:c>
      <x:c r="D56" s="21" t="n">
        <x:v>1</x:v>
      </x:c>
      <x:c r="E56" s="25" t="n">
        <x:v>386.5</x:v>
      </x:c>
      <x:c r="F56" s="25" t="n">
        <x:v>507</x:v>
      </x:c>
      <x:c r="G56" s="2" t="str">
        <x:v>Dolu pano</x:v>
      </x:c>
    </x:row>
    <x:row r="57" ht="24" customHeight="1">
      <x:c r="A57" s="2" t="str">
        <x:v>I02</x:v>
      </x:c>
      <x:c r="B57" s="2" t="str">
        <x:v>BOM_I02_1205p0_V_DOLU_PP</x:v>
      </x:c>
      <x:c r="C57" s="2" t="str">
        <x:v>2A3F</x:v>
      </x:c>
      <x:c r="D57" s="21" t="n">
        <x:v>1</x:v>
      </x:c>
      <x:c r="E57" s="25" t="n">
        <x:v>323.75</x:v>
      </x:c>
      <x:c r="F57" s="25" t="n">
        <x:v>70.25</x:v>
      </x:c>
      <x:c r="G57" s="2" t="str">
        <x:v>Özel dolu pano</x:v>
      </x:c>
    </x:row>
    <x:row r="58" ht="24" customHeight="1">
      <x:c r="A58" s="2" t="str">
        <x:v>I04</x:v>
      </x:c>
      <x:c r="B58" s="2" t="str">
        <x:v>BOM_I04_1225p0_H_K01_PP</x:v>
      </x:c>
      <x:c r="C58" s="2" t="str">
        <x:v>2A2D</x:v>
      </x:c>
      <x:c r="D58" s="21" t="n">
        <x:v>1</x:v>
      </x:c>
      <x:c r="E58" s="25" t="n">
        <x:v>259.5</x:v>
      </x:c>
      <x:c r="F58" s="25" t="n">
        <x:v>632.5</x:v>
      </x:c>
      <x:c r="G58" s="2" t="str">
        <x:v>İç kapılı özel pano</x:v>
      </x:c>
    </x:row>
    <x:row r="59" ht="24" customHeight="1">
      <x:c r="A59" s="2" t="str">
        <x:v>I04</x:v>
      </x:c>
      <x:c r="B59" s="2" t="str">
        <x:v>BOM_I04_1225p0_V_K01_MP</x:v>
      </x:c>
      <x:c r="C59" s="2" t="str">
        <x:v>2A53</x:v>
      </x:c>
      <x:c r="D59" s="21" t="n">
        <x:v>1</x:v>
      </x:c>
      <x:c r="E59" s="25" t="n">
        <x:v>198.25</x:v>
      </x:c>
      <x:c r="F59" s="25" t="n">
        <x:v>445.75</x:v>
      </x:c>
      <x:c r="G59" s="2" t="str">
        <x:v>İç kapılı özel pano</x:v>
      </x:c>
    </x:row>
    <x:row r="60" ht="24" customHeight="1">
      <x:c r="A60" s="2" t="str">
        <x:v>I06</x:v>
      </x:c>
      <x:c r="B60" s="2" t="str">
        <x:v>BOM_I06_627p5_H_DOLU_PP</x:v>
      </x:c>
      <x:c r="C60" s="2" t="str">
        <x:v>2A19</x:v>
      </x:c>
      <x:c r="D60" s="21" t="n">
        <x:v>1</x:v>
      </x:c>
      <x:c r="E60" s="25" t="n">
        <x:v>166.875</x:v>
      </x:c>
      <x:c r="F60" s="25" t="n">
        <x:v>381.5</x:v>
      </x:c>
      <x:c r="G60" s="2" t="str">
        <x:v>Özel dolu pano</x:v>
      </x:c>
    </x:row>
    <x:row r="61" ht="24" customHeight="1">
      <x:c r="A61" s="2" t="str">
        <x:v>I06</x:v>
      </x:c>
      <x:c r="B61" s="2" t="str">
        <x:v>BOM_I06_627p5_H_DOLU_PP</x:v>
      </x:c>
      <x:c r="C61" s="2" t="str">
        <x:v>2A25</x:v>
      </x:c>
      <x:c r="D61" s="21" t="n">
        <x:v>1</x:v>
      </x:c>
      <x:c r="E61" s="25" t="n">
        <x:v>166.875</x:v>
      </x:c>
      <x:c r="F61" s="25" t="n">
        <x:v>632.5</x:v>
      </x:c>
      <x:c r="G61" s="2" t="str">
        <x:v>Özel dolu pano</x:v>
      </x:c>
    </x:row>
    <x:row r="62" ht="24" customHeight="1">
      <x:c r="A62" s="2" t="str">
        <x:v>I06</x:v>
      </x:c>
      <x:c r="B62" s="2" t="str">
        <x:v>BOM_I06_627p5_H_DOLU_PP</x:v>
      </x:c>
      <x:c r="C62" s="2" t="str">
        <x:v>2A39</x:v>
      </x:c>
      <x:c r="D62" s="21" t="n">
        <x:v>1</x:v>
      </x:c>
      <x:c r="E62" s="25" t="n">
        <x:v>606.125</x:v>
      </x:c>
      <x:c r="F62" s="25" t="n">
        <x:v>381.5</x:v>
      </x:c>
      <x:c r="G62" s="2" t="str">
        <x:v>Özel dolu pano</x:v>
      </x:c>
    </x:row>
    <x:row r="63" ht="24" customHeight="1">
      <x:c r="A63" s="2" t="str">
        <x:v>I06</x:v>
      </x:c>
      <x:c r="B63" s="2" t="str">
        <x:v>BOM_I06_627p5_H_DOLU_PP</x:v>
      </x:c>
      <x:c r="C63" s="2" t="str">
        <x:v>2A6E</x:v>
      </x:c>
      <x:c r="D63" s="21" t="n">
        <x:v>1</x:v>
      </x:c>
      <x:c r="E63" s="25" t="n">
        <x:v>606.125</x:v>
      </x:c>
      <x:c r="F63" s="25" t="n">
        <x:v>507</x:v>
      </x:c>
      <x:c r="G63" s="2" t="str">
        <x:v>Özel dolu pano</x:v>
      </x:c>
    </x:row>
    <x:row r="64" ht="24" customHeight="1">
      <x:c r="A64" s="2" t="str">
        <x:v>I07</x:v>
      </x:c>
      <x:c r="B64" s="2" t="str">
        <x:v>BOM_I07_1225p0_V_DOLU_PP</x:v>
      </x:c>
      <x:c r="C64" s="2" t="str">
        <x:v>2A4B</x:v>
      </x:c>
      <x:c r="D64" s="21" t="n">
        <x:v>1</x:v>
      </x:c>
      <x:c r="E64" s="25" t="n">
        <x:v>323.75</x:v>
      </x:c>
      <x:c r="F64" s="25" t="n">
        <x:v>317.25</x:v>
      </x:c>
      <x:c r="G64" s="2" t="str">
        <x:v>Özel dolu pano</x:v>
      </x:c>
    </x:row>
    <x:row r="65" ht="24" customHeight="1">
      <x:c r="A65" s="2" t="str">
        <x:v>I07</x:v>
      </x:c>
      <x:c r="B65" s="2" t="str">
        <x:v>BOM_I07_1225p0_V_DOLU_PP</x:v>
      </x:c>
      <x:c r="C65" s="2" t="str">
        <x:v>2A55</x:v>
      </x:c>
      <x:c r="D65" s="21" t="n">
        <x:v>1</x:v>
      </x:c>
      <x:c r="E65" s="25" t="n">
        <x:v>198.25</x:v>
      </x:c>
      <x:c r="F65" s="25" t="n">
        <x:v>568.25</x:v>
      </x:c>
      <x:c r="G65" s="2" t="str">
        <x:v>Özel dolu pano</x:v>
      </x:c>
    </x:row>
    <x:row r="66" ht="24" customHeight="1">
      <x:c r="A66" s="2" t="str">
        <x:v>I07</x:v>
      </x:c>
      <x:c r="B66" s="2" t="str">
        <x:v>BOM_I07_1225p0_V_DOLU_PP</x:v>
      </x:c>
      <x:c r="C66" s="2" t="str">
        <x:v>2A57</x:v>
      </x:c>
      <x:c r="D66" s="21" t="n">
        <x:v>1</x:v>
      </x:c>
      <x:c r="E66" s="25" t="n">
        <x:v>323.75</x:v>
      </x:c>
      <x:c r="F66" s="25" t="n">
        <x:v>571.25</x:v>
      </x:c>
      <x:c r="G66" s="2" t="str">
        <x:v>Özel dolu pano</x:v>
      </x:c>
    </x:row>
    <x:row r="67" ht="24" customHeight="1">
      <x:c r="A67" s="2" t="str">
        <x:v>I09</x:v>
      </x:c>
      <x:c r="B67" s="2" t="str">
        <x:v>BOM_I09_577p5_V_DOLU_PP</x:v>
      </x:c>
      <x:c r="C67" s="2" t="str">
        <x:v>2A63</x:v>
      </x:c>
      <x:c r="D67" s="21" t="n">
        <x:v>1</x:v>
      </x:c>
      <x:c r="E67" s="25" t="n">
        <x:v>323.75</x:v>
      </x:c>
      <x:c r="F67" s="25" t="n">
        <x:v>1037.875</x:v>
      </x:c>
      <x:c r="G67" s="2" t="str">
        <x:v>Özel dolu pano</x:v>
      </x:c>
    </x:row>
    <x:row r="68" ht="24" customHeight="1">
      <x:c r="A68" s="2" t="str">
        <x:v>I10</x:v>
      </x:c>
      <x:c r="B68" s="2" t="str">
        <x:v>BOM_I10_1255p0_H_OPEN_PP</x:v>
      </x:c>
      <x:c r="C68" s="2" t="str">
        <x:v>2A6C</x:v>
      </x:c>
      <x:c r="D68" s="21" t="n">
        <x:v>1</x:v>
      </x:c>
      <x:c r="E68" s="25" t="n">
        <x:v>512</x:v>
      </x:c>
      <x:c r="F68" s="25" t="n">
        <x:v>507</x:v>
      </x:c>
      <x:c r="G68" s="2" t="str">
        <x:v>Kapısız geçişli pano</x:v>
      </x:c>
    </x:row>
    <x:row r="69" ht="24" customHeight="1">
      <x:c r="A69" s="2" t="str">
        <x:v>I11</x:v>
      </x:c>
      <x:c r="B69" s="2" t="str">
        <x:v>BOM_I11_1255p0_H_K01_PM</x:v>
      </x:c>
      <x:c r="C69" s="2" t="str">
        <x:v>2A21</x:v>
      </x:c>
      <x:c r="D69" s="21" t="n">
        <x:v>1</x:v>
      </x:c>
      <x:c r="E69" s="25" t="n">
        <x:v>261</x:v>
      </x:c>
      <x:c r="F69" s="25" t="n">
        <x:v>381.5</x:v>
      </x:c>
      <x:c r="G69" s="2" t="str">
        <x:v>İç kapılı pano</x:v>
      </x:c>
    </x:row>
    <x:row r="70" ht="24" customHeight="1">
      <x:c r="A70" s="2" t="str">
        <x:v>I11</x:v>
      </x:c>
      <x:c r="B70" s="2" t="str">
        <x:v>BOM_I11_1255p0_H_K01_MM</x:v>
      </x:c>
      <x:c r="C70" s="2" t="str">
        <x:v>2A35</x:v>
      </x:c>
      <x:c r="D70" s="21" t="n">
        <x:v>1</x:v>
      </x:c>
      <x:c r="E70" s="25" t="n">
        <x:v>386.5</x:v>
      </x:c>
      <x:c r="F70" s="25" t="n">
        <x:v>381.5</x:v>
      </x:c>
      <x:c r="G70" s="2" t="str">
        <x:v>İç kapılı pano</x:v>
      </x:c>
    </x:row>
    <x:row r="71" ht="24" customHeight="1">
      <x:c r="A71" s="2" t="str">
        <x:v>K01</x:v>
      </x:c>
      <x:c r="B71" s="2" t="str">
        <x:v>BOM_K01_IC_KAPI_ACIKLIK820</x:v>
      </x:c>
      <x:c r="C71" s="2" t="str">
        <x:v>2A21/2A1D</x:v>
      </x:c>
      <x:c r="D71" s="21" t="n">
        <x:v>1</x:v>
      </x:c>
      <x:c r="E71" s="25" t="n">
        <x:v>261</x:v>
      </x:c>
      <x:c r="F71" s="25" t="n">
        <x:v>381.5</x:v>
      </x:c>
      <x:c r="G71" s="2" t="str">
        <x:v>İç kapı</x:v>
      </x:c>
    </x:row>
    <x:row r="72" ht="24" customHeight="1">
      <x:c r="A72" s="2" t="str">
        <x:v>K01</x:v>
      </x:c>
      <x:c r="B72" s="2" t="str">
        <x:v>BOM_K01_IC_KAPI_ACIKLIK820</x:v>
      </x:c>
      <x:c r="C72" s="2" t="str">
        <x:v>2A2D/2A29</x:v>
      </x:c>
      <x:c r="D72" s="21" t="n">
        <x:v>1</x:v>
      </x:c>
      <x:c r="E72" s="25" t="n">
        <x:v>259.5</x:v>
      </x:c>
      <x:c r="F72" s="25" t="n">
        <x:v>632.5</x:v>
      </x:c>
      <x:c r="G72" s="2" t="str">
        <x:v>İç kapı</x:v>
      </x:c>
    </x:row>
    <x:row r="73" ht="24" customHeight="1">
      <x:c r="A73" s="2" t="str">
        <x:v>K01</x:v>
      </x:c>
      <x:c r="B73" s="2" t="str">
        <x:v>BOM_K01_IC_KAPI_ACIKLIK820</x:v>
      </x:c>
      <x:c r="C73" s="2" t="str">
        <x:v>2A35/2A31</x:v>
      </x:c>
      <x:c r="D73" s="21" t="n">
        <x:v>1</x:v>
      </x:c>
      <x:c r="E73" s="25" t="n">
        <x:v>386.5</x:v>
      </x:c>
      <x:c r="F73" s="25" t="n">
        <x:v>381.5</x:v>
      </x:c>
      <x:c r="G73" s="2" t="str">
        <x:v>İç kapı</x:v>
      </x:c>
    </x:row>
    <x:row r="74" ht="24" customHeight="1">
      <x:c r="A74" s="2" t="str">
        <x:v>K01</x:v>
      </x:c>
      <x:c r="B74" s="2" t="str">
        <x:v>BOM_K01_IC_KAPI_ACIKLIK820</x:v>
      </x:c>
      <x:c r="C74" s="2" t="str">
        <x:v>2A53/2A4F</x:v>
      </x:c>
      <x:c r="D74" s="21" t="n">
        <x:v>1</x:v>
      </x:c>
      <x:c r="E74" s="25" t="n">
        <x:v>198.25</x:v>
      </x:c>
      <x:c r="F74" s="25" t="n">
        <x:v>445.75</x:v>
      </x:c>
      <x:c r="G74" s="2" t="str">
        <x:v>İç kapı</x:v>
      </x:c>
    </x:row>
    <x:row r="75" ht="24" customHeight="1">
      <x:c r="A75" s="2" t="str">
        <x:v>K02</x:v>
      </x:c>
      <x:c r="B75" s="2" t="str">
        <x:v>BOM_K02_DIS_KAPI_ACIKLIK970</x:v>
      </x:c>
      <x:c r="C75" s="2" t="str">
        <x:v>2A0B/2A07</x:v>
      </x:c>
      <x:c r="D75" s="21" t="n">
        <x:v>1</x:v>
      </x:c>
      <x:c r="E75" s="25" t="n">
        <x:v>642.5</x:v>
      </x:c>
      <x:c r="F75" s="25" t="n">
        <x:v>441.75</x:v>
      </x:c>
      <x:c r="G75" s="2" t="str">
        <x:v>Dış kapı</x:v>
      </x:c>
    </x:row>
    <x:row r="76" ht="24" customHeight="1">
      <x:c r="A76" s="2" t="str">
        <x:v>P01</x:v>
      </x:c>
      <x:c r="B76" s="2" t="str">
        <x:v>BOM_P01_PENCERE_1200x1200</x:v>
      </x:c>
      <x:c r="C76" s="2" t="str">
        <x:v>29BB/29B7</x:v>
      </x:c>
      <x:c r="D76" s="21" t="n">
        <x:v>1</x:v>
      </x:c>
      <x:c r="E76" s="25" t="n">
        <x:v>574.75</x:v>
      </x:c>
      <x:c r="F76" s="25" t="n">
        <x:v>1071.75</x:v>
      </x:c>
      <x:c r="G76" s="2" t="str">
        <x:v>Pencere 120×120</x:v>
      </x:c>
    </x:row>
    <x:row r="77" ht="24" customHeight="1">
      <x:c r="A77" s="2" t="str">
        <x:v>P01</x:v>
      </x:c>
      <x:c r="B77" s="2" t="str">
        <x:v>BOM_P01_PENCERE_1200x1200</x:v>
      </x:c>
      <x:c r="C77" s="2" t="str">
        <x:v>29C1/29B7</x:v>
      </x:c>
      <x:c r="D77" s="21" t="n">
        <x:v>1</x:v>
      </x:c>
      <x:c r="E77" s="25" t="n">
        <x:v>198.25</x:v>
      </x:c>
      <x:c r="F77" s="25" t="n">
        <x:v>5</x:v>
      </x:c>
      <x:c r="G77" s="2" t="str">
        <x:v>Pencere 120×120</x:v>
      </x:c>
    </x:row>
    <x:row r="78" ht="24" customHeight="1">
      <x:c r="A78" s="2" t="str">
        <x:v>P01</x:v>
      </x:c>
      <x:c r="B78" s="2" t="str">
        <x:v>BOM_P01_PENCERE_1200x1200</x:v>
      </x:c>
      <x:c r="C78" s="2" t="str">
        <x:v>29C5/29B7</x:v>
      </x:c>
      <x:c r="D78" s="21" t="n">
        <x:v>1</x:v>
      </x:c>
      <x:c r="E78" s="25" t="n">
        <x:v>449.25</x:v>
      </x:c>
      <x:c r="F78" s="25" t="n">
        <x:v>5</x:v>
      </x:c>
      <x:c r="G78" s="2" t="str">
        <x:v>Pencere 120×120</x:v>
      </x:c>
    </x:row>
    <x:row r="79" ht="24" customHeight="1">
      <x:c r="A79" s="2" t="str">
        <x:v>P01</x:v>
      </x:c>
      <x:c r="B79" s="2" t="str">
        <x:v>BOM_P01_PENCERE_1200x1200</x:v>
      </x:c>
      <x:c r="C79" s="2" t="str">
        <x:v>29E5/29E1</x:v>
      </x:c>
      <x:c r="D79" s="21" t="n">
        <x:v>1</x:v>
      </x:c>
      <x:c r="E79" s="25" t="n">
        <x:v>5</x:v>
      </x:c>
      <x:c r="F79" s="25" t="n">
        <x:v>820.75</x:v>
      </x:c>
      <x:c r="G79" s="2" t="str">
        <x:v>Pencere 120×120</x:v>
      </x:c>
    </x:row>
    <x:row r="80" ht="24" customHeight="1">
      <x:c r="A80" s="2" t="str">
        <x:v>P02</x:v>
      </x:c>
      <x:c r="B80" s="2" t="str">
        <x:v>BOM_P02_PENCERE_1200x1800</x:v>
      </x:c>
      <x:c r="C80" s="2" t="str">
        <x:v>29F9/29F5</x:v>
      </x:c>
      <x:c r="D80" s="21" t="n">
        <x:v>1</x:v>
      </x:c>
      <x:c r="E80" s="25" t="n">
        <x:v>768</x:v>
      </x:c>
      <x:c r="F80" s="25" t="n">
        <x:v>820.75</x:v>
      </x:c>
      <x:c r="G80" s="2" t="str">
        <x:v>Pencere 120×180</x:v>
      </x:c>
    </x:row>
    <x:row r="81" ht="24" customHeight="1">
      <x:c r="A81" s="2" t="str">
        <x:v>P02</x:v>
      </x:c>
      <x:c r="B81" s="2" t="str">
        <x:v>BOM_P02_PENCERE_1200x1800</x:v>
      </x:c>
      <x:c r="C81" s="2" t="str">
        <x:v>2A01/29F5</x:v>
      </x:c>
      <x:c r="D81" s="21" t="n">
        <x:v>1</x:v>
      </x:c>
      <x:c r="E81" s="25" t="n">
        <x:v>642.5</x:v>
      </x:c>
      <x:c r="F81" s="25" t="n">
        <x:v>193.25</x:v>
      </x:c>
      <x:c r="G81" s="2" t="str">
        <x:v>Pencere 120×180</x:v>
      </x:c>
    </x:row>
    <x:row r="82" ht="24" customHeight="1">
      <x:c r="A82" s="2" t="str">
        <x:v>P03</x:v>
      </x:c>
      <x:c r="B82" s="2" t="str">
        <x:v>BOM_P03_PENCERE_600x400</x:v>
      </x:c>
      <x:c r="C82" s="2" t="str">
        <x:v>29D9/29D5</x:v>
      </x:c>
      <x:c r="D82" s="21" t="n">
        <x:v>1</x:v>
      </x:c>
      <x:c r="E82" s="25" t="n">
        <x:v>5</x:v>
      </x:c>
      <x:c r="F82" s="25" t="n">
        <x:v>444.25</x:v>
      </x:c>
      <x:c r="G82" s="2" t="str">
        <x:v>Vasistas 60×40</x:v>
      </x:c>
    </x:row>
    <x:row r="83" ht="24" customHeight="1">
      <x:c r="A83" s="2" t="str">
        <x:v>V03</x:v>
      </x:c>
      <x:c r="B83" s="2" t="str">
        <x:v>BOM_V03_VERANDA</x:v>
      </x:c>
      <x:c r="C83" s="2" t="str">
        <x:v>2A89</x:v>
      </x:c>
      <x:c r="D83" s="21" t="n">
        <x:v>1</x:v>
      </x:c>
      <x:c r="E83" s="25" t="n">
        <x:v>768</x:v>
      </x:c>
      <x:c r="F83" s="25" t="n">
        <x:v>251</x:v>
      </x:c>
      <x:c r="G83" s="2" t="str">
        <x:v>Veranda yan profil gösterimi</x:v>
      </x:c>
    </x:row>
    <x:row r="84" ht="24" customHeight="1">
      <x:c r="A84" s="2" t="str">
        <x:v>V04</x:v>
      </x:c>
      <x:c r="B84" s="2" t="str">
        <x:v>BOM_V04_VERANDA</x:v>
      </x:c>
      <x:c r="C84" s="2" t="str">
        <x:v>2A90</x:v>
      </x:c>
      <x:c r="D84" s="21" t="n">
        <x:v>1</x:v>
      </x:c>
      <x:c r="E84" s="25" t="n">
        <x:v>710.25</x:v>
      </x:c>
      <x:c r="F84" s="25" t="n">
        <x:v>5</x:v>
      </x:c>
      <x:c r="G84" s="2" t="str">
        <x:v>Veranda ön profil gösterimi</x:v>
      </x:c>
    </x:row>
    <x:row r="85">
      <x:c r="A85" s="2"/>
      <x:c r="B85" s="2"/>
      <x:c r="C85" s="2"/>
      <x:c r="D85" s="2"/>
      <x:c r="E85" s="2"/>
      <x:c r="F85" s="2"/>
      <x:c r="G85" s="2"/>
    </x:row>
    <x:row r="86">
      <x:c r="A86" s="2"/>
      <x:c r="B86" s="2"/>
      <x:c r="C86" s="2"/>
      <x:c r="D86" s="2"/>
      <x:c r="E86" s="2"/>
      <x:c r="F86" s="2"/>
      <x:c r="G86" s="2"/>
    </x:row>
    <x:row r="87">
      <x:c r="A87" s="2"/>
      <x:c r="B87" s="2"/>
      <x:c r="C87" s="2"/>
      <x:c r="D87" s="2"/>
      <x:c r="E87" s="2"/>
      <x:c r="F87" s="2"/>
      <x:c r="G87" s="2"/>
    </x:row>
    <x:row r="88">
      <x:c r="A88" s="2"/>
      <x:c r="B88" s="2"/>
      <x:c r="C88" s="2"/>
      <x:c r="D88" s="2"/>
      <x:c r="E88" s="2"/>
      <x:c r="F88" s="2"/>
      <x:c r="G88" s="2"/>
    </x:row>
    <x:row r="89">
      <x:c r="A89" s="2"/>
      <x:c r="B89" s="2"/>
      <x:c r="C89" s="2"/>
      <x:c r="D89" s="2"/>
      <x:c r="E89" s="2"/>
      <x:c r="F89" s="2"/>
      <x:c r="G89" s="2"/>
    </x:row>
    <x:row r="90">
      <x:c r="A90" s="2"/>
      <x:c r="B90" s="2"/>
      <x:c r="C90" s="2"/>
      <x:c r="D90" s="2"/>
      <x:c r="E90" s="2"/>
      <x:c r="F90" s="2"/>
      <x:c r="G90" s="2"/>
    </x:row>
  </x:sheetData>
  <x:mergeCells>
    <x:mergeCell ref="A1:G1"/>
    <x:mergeCell ref="A2:G2"/>
    <x:mergeCell ref="A3:G3"/>
    <x:mergeCell ref="A4:G4"/>
  </x:mergeCells>
  <x:pageMargins left="0.7" right="0.7" top="0.75" bottom="0.75" header="0.3" footer="0.3"/>
  <x:tableParts count="1">
    <x:tablePart xmlns:r="http://schemas.openxmlformats.org/officeDocument/2006/relationships" r:id="R23922e015efa4142"/>
  </x:tableParts>
</x:worksheet>
</file>